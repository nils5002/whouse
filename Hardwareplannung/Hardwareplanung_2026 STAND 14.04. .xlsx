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onventexsoftware-my.sharepoint.com/personal/golowko_conventex_com/Documents/"/>
    </mc:Choice>
  </mc:AlternateContent>
  <xr:revisionPtr revIDLastSave="0" documentId="8_{675305A1-51E7-4A0A-A48F-46773760FBB6}" xr6:coauthVersionLast="47" xr6:coauthVersionMax="47" xr10:uidLastSave="{00000000-0000-0000-0000-000000000000}"/>
  <bookViews>
    <workbookView xWindow="-38400" yWindow="500" windowWidth="38400" windowHeight="20140" firstSheet="24" activeTab="24" xr2:uid="{00000000-000D-0000-FFFF-FFFF00000000}"/>
  </bookViews>
  <sheets>
    <sheet name="Bestand" sheetId="1" r:id="rId1"/>
    <sheet name=" MASTER KW 1 (29.12. 04.01.)" sheetId="3" r:id="rId2"/>
    <sheet name="KW 2 (05.01. 11.01.)" sheetId="2" r:id="rId3"/>
    <sheet name="KW 3 (12.01. 18.01.)" sheetId="4" r:id="rId4"/>
    <sheet name="KW 4 (19.01. 25.01.)" sheetId="5" r:id="rId5"/>
    <sheet name="KW 5 (26.01. 01.02.)" sheetId="6" r:id="rId6"/>
    <sheet name="KW 6 (02.02. 08.02.)" sheetId="7" r:id="rId7"/>
    <sheet name="KW 7 (09.02. 15.02.)" sheetId="8" r:id="rId8"/>
    <sheet name="KW 8 (16.02. 22.02.)" sheetId="9" r:id="rId9"/>
    <sheet name="KW 9 (23.02. 01.03.)" sheetId="10" r:id="rId10"/>
    <sheet name="KW 10 (02.03. 08.03.)" sheetId="11" r:id="rId11"/>
    <sheet name="KW 11 (09.03. 15.03.)" sheetId="12" r:id="rId12"/>
    <sheet name="KW 12 (16.03. 22.03.)" sheetId="13" r:id="rId13"/>
    <sheet name="KW 13 (23.03. 29.03.)" sheetId="14" r:id="rId14"/>
    <sheet name="KW 14 (30.03. 05.04.)" sheetId="15" r:id="rId15"/>
    <sheet name="KW 15 (06.04. 12.04.)" sheetId="16" r:id="rId16"/>
    <sheet name="KW 16 (13.04. 19.04.)" sheetId="17" r:id="rId17"/>
    <sheet name="KW 17 (20.04. 26.04.)" sheetId="18" r:id="rId18"/>
    <sheet name="KW 18 (27.04. 03.05.)" sheetId="19" r:id="rId19"/>
    <sheet name="KW 19 (04.05. 10.05.)" sheetId="20" r:id="rId20"/>
    <sheet name="KW 20 (11.05. 17.05.)" sheetId="21" r:id="rId21"/>
    <sheet name="KW 21 (18.05. 24.05.)" sheetId="22" r:id="rId22"/>
    <sheet name="KW 22 (25.05. 31.05.)" sheetId="23" r:id="rId23"/>
    <sheet name="KW 23 (01.06. 07.06.)" sheetId="24" r:id="rId24"/>
    <sheet name="KW 24 (08.06. 14.06.)" sheetId="25" r:id="rId25"/>
    <sheet name="KW 25 (15.06. 21.06.)" sheetId="26" r:id="rId26"/>
    <sheet name="KW 26 (22.06. 28.06.)" sheetId="27" r:id="rId27"/>
    <sheet name="KW 27 (29.06. 05.07.)" sheetId="28" r:id="rId28"/>
    <sheet name="KW 28 (06.07. 12.07.)" sheetId="29" r:id="rId29"/>
    <sheet name="KW 29 (13.07. 19.07.)" sheetId="30" r:id="rId30"/>
    <sheet name="KW 30 (20.07. 26.07.)" sheetId="31" r:id="rId31"/>
    <sheet name="KW 31 (27.07. 02.08.)" sheetId="32" r:id="rId32"/>
    <sheet name="KW 32 (03.08. 09.08.)" sheetId="33" r:id="rId33"/>
    <sheet name="KW 33 (10.08. 16.08.)" sheetId="34" r:id="rId34"/>
    <sheet name="KW 34 (17.08. 23.08.)" sheetId="35" r:id="rId35"/>
    <sheet name="KW 35 (24.08. 30.08.)" sheetId="36" r:id="rId36"/>
    <sheet name="KW 36 (31.08. 06.09.)" sheetId="37" r:id="rId37"/>
    <sheet name="KW 37 (07.09. 13.09.)" sheetId="38" r:id="rId38"/>
    <sheet name="KW 38 (14.09. 20.09.)" sheetId="39" r:id="rId39"/>
    <sheet name="KW 39 (21.09. 27.09.)" sheetId="40" r:id="rId40"/>
    <sheet name="KW 40 (28.09. 04.10.)" sheetId="41" r:id="rId41"/>
    <sheet name="KW 41 (05.10. 11.10.)" sheetId="42" r:id="rId42"/>
    <sheet name="KW 42 (12.10. 18.10.)" sheetId="43" r:id="rId43"/>
    <sheet name="KW 43 (19.10. 25.10.)" sheetId="44" r:id="rId44"/>
    <sheet name="KW 44 (26.10. 01.11.)" sheetId="45" r:id="rId45"/>
    <sheet name="KW 45 (02.11. 08.11.)" sheetId="46" r:id="rId46"/>
    <sheet name="KW 46 (09.11. 15.11.)" sheetId="47" r:id="rId47"/>
    <sheet name="KW 47 (16.11. 22.11.)" sheetId="48" r:id="rId48"/>
    <sheet name="KW 48 (23.11. 29.11.)" sheetId="49" r:id="rId49"/>
    <sheet name="KW 49 (30.11. 06.12.)" sheetId="50" r:id="rId50"/>
    <sheet name="KW 50 (07.12. 13.12.)" sheetId="51" r:id="rId51"/>
    <sheet name="KW 51 (14.12. 20.12.)" sheetId="52" r:id="rId52"/>
    <sheet name="KW 52 (21.12. 27.12.)" sheetId="53" r:id="rId53"/>
    <sheet name="KW 53 (28.12. 03.01.)" sheetId="54" r:id="rId5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K3" i="31"/>
  <c r="J3" i="31"/>
  <c r="I3" i="31"/>
  <c r="H3" i="31"/>
  <c r="G3" i="31"/>
  <c r="F3" i="31"/>
  <c r="E3" i="31"/>
  <c r="D3" i="31"/>
  <c r="C3" i="31"/>
  <c r="B3" i="31"/>
  <c r="K3" i="30"/>
  <c r="J3" i="30"/>
  <c r="I3" i="30"/>
  <c r="H3" i="30"/>
  <c r="G3" i="30"/>
  <c r="F3" i="30"/>
  <c r="E3" i="30"/>
  <c r="D3" i="30"/>
  <c r="C3" i="30"/>
  <c r="B3" i="30"/>
  <c r="K3" i="29"/>
  <c r="J3" i="29"/>
  <c r="I3" i="29"/>
  <c r="H3" i="29"/>
  <c r="G3" i="29"/>
  <c r="F3" i="29"/>
  <c r="E3" i="29"/>
  <c r="D3" i="29"/>
  <c r="C3" i="29"/>
  <c r="B3" i="29"/>
  <c r="K3" i="28"/>
  <c r="J3" i="28"/>
  <c r="I3" i="28"/>
  <c r="H3" i="28"/>
  <c r="G3" i="28"/>
  <c r="F3" i="28"/>
  <c r="E3" i="28"/>
  <c r="D3" i="28"/>
  <c r="C3" i="28"/>
  <c r="B3" i="28"/>
  <c r="K3" i="27"/>
  <c r="J3" i="27"/>
  <c r="I3" i="27"/>
  <c r="H3" i="27"/>
  <c r="G3" i="27"/>
  <c r="F3" i="27"/>
  <c r="E3" i="27"/>
  <c r="D3" i="27"/>
  <c r="C3" i="27"/>
  <c r="B3" i="27"/>
  <c r="K3" i="26"/>
  <c r="J3" i="26"/>
  <c r="I3" i="26"/>
  <c r="H3" i="26"/>
  <c r="G3" i="26"/>
  <c r="F3" i="26"/>
  <c r="E3" i="26"/>
  <c r="D3" i="26"/>
  <c r="C3" i="26"/>
  <c r="B3" i="26"/>
  <c r="K3" i="25"/>
  <c r="J3" i="25"/>
  <c r="I3" i="25"/>
  <c r="H3" i="25"/>
  <c r="G3" i="25"/>
  <c r="F3" i="25"/>
  <c r="E3" i="25"/>
  <c r="D3" i="25"/>
  <c r="C3" i="25"/>
  <c r="B3" i="25"/>
  <c r="K3" i="24"/>
  <c r="J3" i="24"/>
  <c r="I3" i="24"/>
  <c r="H3" i="24"/>
  <c r="G3" i="24"/>
  <c r="F3" i="24"/>
  <c r="E3" i="24"/>
  <c r="D3" i="24"/>
  <c r="C3" i="24"/>
  <c r="B3" i="24"/>
  <c r="K3" i="23"/>
  <c r="J3" i="23"/>
  <c r="I3" i="23"/>
  <c r="H3" i="23"/>
  <c r="G3" i="23"/>
  <c r="F3" i="23"/>
  <c r="E3" i="23"/>
  <c r="D3" i="23"/>
  <c r="C3" i="23"/>
  <c r="B3" i="23"/>
  <c r="K3" i="22"/>
  <c r="J3" i="22"/>
  <c r="I3" i="22"/>
  <c r="H3" i="22"/>
  <c r="G3" i="22"/>
  <c r="F3" i="22"/>
  <c r="E3" i="22"/>
  <c r="D3" i="22"/>
  <c r="C3" i="22"/>
  <c r="B3" i="22"/>
  <c r="K3" i="21"/>
  <c r="J3" i="21"/>
  <c r="I3" i="21"/>
  <c r="H3" i="21"/>
  <c r="G3" i="21"/>
  <c r="F3" i="21"/>
  <c r="E3" i="21"/>
  <c r="D3" i="21"/>
  <c r="C3" i="21"/>
  <c r="B3" i="21"/>
  <c r="K3" i="20"/>
  <c r="J3" i="20"/>
  <c r="I3" i="20"/>
  <c r="H3" i="20"/>
  <c r="G3" i="20"/>
  <c r="F3" i="20"/>
  <c r="E3" i="20"/>
  <c r="D3" i="20"/>
  <c r="C3" i="20"/>
  <c r="B3" i="20"/>
  <c r="K3" i="19"/>
  <c r="J3" i="19"/>
  <c r="I3" i="19"/>
  <c r="H3" i="19"/>
  <c r="G3" i="19"/>
  <c r="F3" i="19"/>
  <c r="E3" i="19"/>
  <c r="D3" i="19"/>
  <c r="C3" i="19"/>
  <c r="B3" i="19"/>
  <c r="K3" i="18"/>
  <c r="J3" i="18"/>
  <c r="I3" i="18"/>
  <c r="H3" i="18"/>
  <c r="G3" i="18"/>
  <c r="F3" i="18"/>
  <c r="E3" i="18"/>
  <c r="D3" i="18"/>
  <c r="C3" i="18"/>
  <c r="B3" i="18"/>
  <c r="K3" i="17"/>
  <c r="J3" i="17"/>
  <c r="I3" i="17"/>
  <c r="H3" i="17"/>
  <c r="G3" i="17"/>
  <c r="F3" i="17"/>
  <c r="E3" i="17"/>
  <c r="D3" i="17"/>
  <c r="C3" i="17"/>
  <c r="B3" i="17"/>
  <c r="K3" i="16"/>
  <c r="J3" i="16"/>
  <c r="I3" i="16"/>
  <c r="H3" i="16"/>
  <c r="G3" i="16"/>
  <c r="F3" i="16"/>
  <c r="E3" i="16"/>
  <c r="D3" i="16"/>
  <c r="C3" i="16"/>
  <c r="B3" i="16"/>
  <c r="K3" i="15"/>
  <c r="J3" i="15"/>
  <c r="I3" i="15"/>
  <c r="H3" i="15"/>
  <c r="G3" i="15"/>
  <c r="F3" i="15"/>
  <c r="E3" i="15"/>
  <c r="D3" i="15"/>
  <c r="C3" i="15"/>
  <c r="B3" i="15"/>
  <c r="K3" i="14"/>
  <c r="J3" i="14"/>
  <c r="I3" i="14"/>
  <c r="H3" i="14"/>
  <c r="G3" i="14"/>
  <c r="F3" i="14"/>
  <c r="E3" i="14"/>
  <c r="D3" i="14"/>
  <c r="C3" i="14"/>
  <c r="B3" i="14"/>
  <c r="K3" i="13"/>
  <c r="J3" i="13"/>
  <c r="I3" i="13"/>
  <c r="H3" i="13"/>
  <c r="G3" i="13"/>
  <c r="F3" i="13"/>
  <c r="E3" i="13"/>
  <c r="D3" i="13"/>
  <c r="C3" i="13"/>
  <c r="B3" i="13"/>
  <c r="K3" i="12"/>
  <c r="J3" i="12"/>
  <c r="I3" i="12"/>
  <c r="H3" i="12"/>
  <c r="G3" i="12"/>
  <c r="F3" i="12"/>
  <c r="E3" i="12"/>
  <c r="D3" i="12"/>
  <c r="C3" i="12"/>
  <c r="B3" i="12"/>
  <c r="K3" i="11"/>
  <c r="J3" i="11"/>
  <c r="I3" i="11"/>
  <c r="H3" i="11"/>
  <c r="G3" i="11"/>
  <c r="F3" i="11"/>
  <c r="E3" i="11"/>
  <c r="D3" i="11"/>
  <c r="C3" i="11"/>
  <c r="B3" i="11"/>
  <c r="K3" i="10"/>
  <c r="J3" i="10"/>
  <c r="I3" i="10"/>
  <c r="H3" i="10"/>
  <c r="G3" i="10"/>
  <c r="F3" i="10"/>
  <c r="E3" i="10"/>
  <c r="D3" i="10"/>
  <c r="C3" i="10"/>
  <c r="B3" i="10"/>
  <c r="K3" i="3"/>
  <c r="J3" i="3"/>
  <c r="I3" i="3"/>
  <c r="H3" i="3"/>
  <c r="G3" i="3"/>
  <c r="F3" i="3"/>
  <c r="E3" i="3"/>
  <c r="D3" i="3"/>
  <c r="C3" i="3"/>
  <c r="B3" i="3"/>
  <c r="K3" i="9"/>
  <c r="J3" i="9"/>
  <c r="I3" i="9"/>
  <c r="H3" i="9"/>
  <c r="G3" i="9"/>
  <c r="F3" i="9"/>
  <c r="E3" i="9"/>
  <c r="D3" i="9"/>
  <c r="C3" i="9"/>
  <c r="B3" i="9"/>
  <c r="K3" i="8"/>
  <c r="J3" i="8"/>
  <c r="I3" i="8"/>
  <c r="H3" i="8"/>
  <c r="G3" i="8"/>
  <c r="F3" i="8"/>
  <c r="E3" i="8"/>
  <c r="D3" i="8"/>
  <c r="C3" i="8"/>
  <c r="B3" i="8"/>
  <c r="K3" i="7"/>
  <c r="J3" i="7"/>
  <c r="I3" i="7"/>
  <c r="H3" i="7"/>
  <c r="G3" i="7"/>
  <c r="F3" i="7"/>
  <c r="E3" i="7"/>
  <c r="D3" i="7"/>
  <c r="C3" i="7"/>
  <c r="B3" i="7"/>
  <c r="K3" i="6"/>
  <c r="J3" i="6"/>
  <c r="I3" i="6"/>
  <c r="H3" i="6"/>
  <c r="G3" i="6"/>
  <c r="F3" i="6"/>
  <c r="E3" i="6"/>
  <c r="D3" i="6"/>
  <c r="C3" i="6"/>
  <c r="B3" i="6"/>
  <c r="K3" i="5"/>
  <c r="J3" i="5"/>
  <c r="I3" i="5"/>
  <c r="H3" i="5"/>
  <c r="G3" i="5"/>
  <c r="F3" i="5"/>
  <c r="E3" i="5"/>
  <c r="D3" i="5"/>
  <c r="C3" i="5"/>
  <c r="B3" i="5"/>
  <c r="C3" i="4"/>
  <c r="D3" i="4"/>
  <c r="E3" i="4"/>
  <c r="F3" i="4"/>
  <c r="G3" i="4"/>
  <c r="H3" i="4"/>
  <c r="I3" i="4"/>
  <c r="J3" i="4"/>
  <c r="K3" i="4"/>
  <c r="B3" i="4"/>
  <c r="L73" i="54"/>
  <c r="N73" i="54" s="1"/>
  <c r="L72" i="54"/>
  <c r="N72" i="54" s="1"/>
  <c r="N71" i="54"/>
  <c r="L71" i="54"/>
  <c r="L70" i="54"/>
  <c r="N70" i="54" s="1"/>
  <c r="L69" i="54"/>
  <c r="N69" i="54" s="1"/>
  <c r="L68" i="54"/>
  <c r="N68" i="54" s="1"/>
  <c r="L67" i="54"/>
  <c r="N67" i="54" s="1"/>
  <c r="L66" i="54"/>
  <c r="N66" i="54" s="1"/>
  <c r="N65" i="54"/>
  <c r="L65" i="54"/>
  <c r="L63" i="54"/>
  <c r="N63" i="54" s="1"/>
  <c r="L62" i="54"/>
  <c r="N62" i="54" s="1"/>
  <c r="L61" i="54"/>
  <c r="N61" i="54" s="1"/>
  <c r="L60" i="54"/>
  <c r="N60" i="54" s="1"/>
  <c r="L59" i="54"/>
  <c r="N59" i="54" s="1"/>
  <c r="N58" i="54"/>
  <c r="L58" i="54"/>
  <c r="L57" i="54"/>
  <c r="N57" i="54" s="1"/>
  <c r="L56" i="54"/>
  <c r="N56" i="54" s="1"/>
  <c r="L55" i="54"/>
  <c r="N55" i="54" s="1"/>
  <c r="L53" i="54"/>
  <c r="N53" i="54" s="1"/>
  <c r="L52" i="54"/>
  <c r="N52" i="54" s="1"/>
  <c r="N51" i="54"/>
  <c r="L51" i="54"/>
  <c r="L50" i="54"/>
  <c r="N50" i="54" s="1"/>
  <c r="L49" i="54"/>
  <c r="N49" i="54" s="1"/>
  <c r="L48" i="54"/>
  <c r="N48" i="54" s="1"/>
  <c r="L47" i="54"/>
  <c r="N47" i="54" s="1"/>
  <c r="L46" i="54"/>
  <c r="N46" i="54" s="1"/>
  <c r="N45" i="54"/>
  <c r="L45" i="54"/>
  <c r="L43" i="54"/>
  <c r="N43" i="54" s="1"/>
  <c r="L42" i="54"/>
  <c r="N42" i="54" s="1"/>
  <c r="L41" i="54"/>
  <c r="N41" i="54" s="1"/>
  <c r="L40" i="54"/>
  <c r="N40" i="54" s="1"/>
  <c r="L39" i="54"/>
  <c r="N39" i="54" s="1"/>
  <c r="N38" i="54"/>
  <c r="L38" i="54"/>
  <c r="L37" i="54"/>
  <c r="N37" i="54" s="1"/>
  <c r="L36" i="54"/>
  <c r="N36" i="54" s="1"/>
  <c r="L35" i="54"/>
  <c r="N35" i="54" s="1"/>
  <c r="L33" i="54"/>
  <c r="N33" i="54" s="1"/>
  <c r="L32" i="54"/>
  <c r="N32" i="54" s="1"/>
  <c r="N31" i="54"/>
  <c r="L31" i="54"/>
  <c r="L30" i="54"/>
  <c r="N30" i="54" s="1"/>
  <c r="L29" i="54"/>
  <c r="N29" i="54" s="1"/>
  <c r="L28" i="54"/>
  <c r="N28" i="54" s="1"/>
  <c r="L27" i="54"/>
  <c r="N27" i="54" s="1"/>
  <c r="L26" i="54"/>
  <c r="N26" i="54" s="1"/>
  <c r="N25" i="54"/>
  <c r="L25" i="54"/>
  <c r="L23" i="54"/>
  <c r="N23" i="54" s="1"/>
  <c r="L22" i="54"/>
  <c r="N22" i="54" s="1"/>
  <c r="L21" i="54"/>
  <c r="N21" i="54" s="1"/>
  <c r="L20" i="54"/>
  <c r="N20" i="54" s="1"/>
  <c r="L19" i="54"/>
  <c r="N19" i="54" s="1"/>
  <c r="N18" i="54"/>
  <c r="L18" i="54"/>
  <c r="L17" i="54"/>
  <c r="N17" i="54" s="1"/>
  <c r="L16" i="54"/>
  <c r="N16" i="54" s="1"/>
  <c r="L15" i="54"/>
  <c r="N15" i="54" s="1"/>
  <c r="L13" i="54"/>
  <c r="N13" i="54" s="1"/>
  <c r="L12" i="54"/>
  <c r="N12" i="54" s="1"/>
  <c r="N11" i="54"/>
  <c r="L11" i="54"/>
  <c r="L10" i="54"/>
  <c r="N10" i="54" s="1"/>
  <c r="L9" i="54"/>
  <c r="N9" i="54" s="1"/>
  <c r="L8" i="54"/>
  <c r="N8" i="54" s="1"/>
  <c r="L7" i="54"/>
  <c r="N7" i="54" s="1"/>
  <c r="L6" i="54"/>
  <c r="N6" i="54" s="1"/>
  <c r="N5" i="54"/>
  <c r="L5" i="54"/>
  <c r="K3" i="54"/>
  <c r="J3" i="54"/>
  <c r="I3" i="54"/>
  <c r="H3" i="54"/>
  <c r="G3" i="54"/>
  <c r="F3" i="54"/>
  <c r="E3" i="54"/>
  <c r="D3" i="54"/>
  <c r="C3" i="54"/>
  <c r="B3" i="54"/>
  <c r="N73" i="53"/>
  <c r="L73" i="53"/>
  <c r="L72" i="53"/>
  <c r="N72" i="53" s="1"/>
  <c r="L71" i="53"/>
  <c r="N71" i="53" s="1"/>
  <c r="L70" i="53"/>
  <c r="N70" i="53" s="1"/>
  <c r="N69" i="53"/>
  <c r="L69" i="53"/>
  <c r="L68" i="53"/>
  <c r="N68" i="53" s="1"/>
  <c r="N67" i="53"/>
  <c r="L67" i="53"/>
  <c r="N66" i="53"/>
  <c r="L66" i="53"/>
  <c r="L65" i="53"/>
  <c r="N65" i="53" s="1"/>
  <c r="L63" i="53"/>
  <c r="N63" i="53" s="1"/>
  <c r="N62" i="53"/>
  <c r="L62" i="53"/>
  <c r="L61" i="53"/>
  <c r="N61" i="53" s="1"/>
  <c r="N60" i="53"/>
  <c r="L60" i="53"/>
  <c r="L59" i="53"/>
  <c r="N59" i="53" s="1"/>
  <c r="N58" i="53"/>
  <c r="L58" i="53"/>
  <c r="L57" i="53"/>
  <c r="N57" i="53" s="1"/>
  <c r="N56" i="53"/>
  <c r="L56" i="53"/>
  <c r="L55" i="53"/>
  <c r="N55" i="53" s="1"/>
  <c r="N53" i="53"/>
  <c r="L53" i="53"/>
  <c r="N52" i="53"/>
  <c r="L52" i="53"/>
  <c r="L51" i="53"/>
  <c r="N51" i="53" s="1"/>
  <c r="L50" i="53"/>
  <c r="N50" i="53" s="1"/>
  <c r="N49" i="53"/>
  <c r="L49" i="53"/>
  <c r="L48" i="53"/>
  <c r="N48" i="53" s="1"/>
  <c r="N47" i="53"/>
  <c r="L47" i="53"/>
  <c r="N46" i="53"/>
  <c r="L46" i="53"/>
  <c r="N45" i="53"/>
  <c r="L45" i="53"/>
  <c r="L43" i="53"/>
  <c r="N43" i="53" s="1"/>
  <c r="N42" i="53"/>
  <c r="L42" i="53"/>
  <c r="L41" i="53"/>
  <c r="N41" i="53" s="1"/>
  <c r="N40" i="53"/>
  <c r="L40" i="53"/>
  <c r="N39" i="53"/>
  <c r="L39" i="53"/>
  <c r="N38" i="53"/>
  <c r="L38" i="53"/>
  <c r="L37" i="53"/>
  <c r="N37" i="53" s="1"/>
  <c r="N36" i="53"/>
  <c r="L36" i="53"/>
  <c r="L35" i="53"/>
  <c r="N35" i="53" s="1"/>
  <c r="N33" i="53"/>
  <c r="L33" i="53"/>
  <c r="N32" i="53"/>
  <c r="L32" i="53"/>
  <c r="N31" i="53"/>
  <c r="L31" i="53"/>
  <c r="L30" i="53"/>
  <c r="N30" i="53" s="1"/>
  <c r="N29" i="53"/>
  <c r="L29" i="53"/>
  <c r="L28" i="53"/>
  <c r="N28" i="53" s="1"/>
  <c r="N27" i="53"/>
  <c r="L27" i="53"/>
  <c r="N26" i="53"/>
  <c r="L26" i="53"/>
  <c r="L25" i="53"/>
  <c r="N25" i="53" s="1"/>
  <c r="L23" i="53"/>
  <c r="N23" i="53" s="1"/>
  <c r="N22" i="53"/>
  <c r="L22" i="53"/>
  <c r="L21" i="53"/>
  <c r="N21" i="53" s="1"/>
  <c r="N20" i="53"/>
  <c r="L20" i="53"/>
  <c r="L19" i="53"/>
  <c r="N19" i="53" s="1"/>
  <c r="N18" i="53"/>
  <c r="L18" i="53"/>
  <c r="L17" i="53"/>
  <c r="N17" i="53" s="1"/>
  <c r="N16" i="53"/>
  <c r="L16" i="53"/>
  <c r="L15" i="53"/>
  <c r="N15" i="53" s="1"/>
  <c r="N13" i="53"/>
  <c r="L13" i="53"/>
  <c r="N12" i="53"/>
  <c r="L12" i="53"/>
  <c r="L11" i="53"/>
  <c r="N11" i="53" s="1"/>
  <c r="L10" i="53"/>
  <c r="N10" i="53" s="1"/>
  <c r="N9" i="53"/>
  <c r="L9" i="53"/>
  <c r="L8" i="53"/>
  <c r="N8" i="53" s="1"/>
  <c r="N7" i="53"/>
  <c r="L7" i="53"/>
  <c r="N6" i="53"/>
  <c r="L6" i="53"/>
  <c r="N5" i="53"/>
  <c r="L5" i="53"/>
  <c r="K3" i="53"/>
  <c r="J3" i="53"/>
  <c r="I3" i="53"/>
  <c r="H3" i="53"/>
  <c r="G3" i="53"/>
  <c r="F3" i="53"/>
  <c r="E3" i="53"/>
  <c r="D3" i="53"/>
  <c r="C3" i="53"/>
  <c r="B3" i="53"/>
  <c r="N73" i="52"/>
  <c r="L73" i="52"/>
  <c r="L72" i="52"/>
  <c r="N72" i="52" s="1"/>
  <c r="L71" i="52"/>
  <c r="N71" i="52" s="1"/>
  <c r="L70" i="52"/>
  <c r="N70" i="52" s="1"/>
  <c r="L69" i="52"/>
  <c r="N69" i="52" s="1"/>
  <c r="L68" i="52"/>
  <c r="N68" i="52" s="1"/>
  <c r="L67" i="52"/>
  <c r="N67" i="52" s="1"/>
  <c r="L66" i="52"/>
  <c r="N66" i="52" s="1"/>
  <c r="L65" i="52"/>
  <c r="N65" i="52" s="1"/>
  <c r="L63" i="52"/>
  <c r="N63" i="52" s="1"/>
  <c r="N62" i="52"/>
  <c r="L62" i="52"/>
  <c r="N61" i="52"/>
  <c r="L61" i="52"/>
  <c r="N60" i="52"/>
  <c r="L60" i="52"/>
  <c r="L59" i="52"/>
  <c r="N59" i="52" s="1"/>
  <c r="L58" i="52"/>
  <c r="N58" i="52" s="1"/>
  <c r="L57" i="52"/>
  <c r="N57" i="52" s="1"/>
  <c r="N56" i="52"/>
  <c r="L56" i="52"/>
  <c r="L55" i="52"/>
  <c r="N55" i="52" s="1"/>
  <c r="N53" i="52"/>
  <c r="L53" i="52"/>
  <c r="L52" i="52"/>
  <c r="N52" i="52" s="1"/>
  <c r="L51" i="52"/>
  <c r="N51" i="52" s="1"/>
  <c r="L50" i="52"/>
  <c r="N50" i="52" s="1"/>
  <c r="N49" i="52"/>
  <c r="L49" i="52"/>
  <c r="N48" i="52"/>
  <c r="L48" i="52"/>
  <c r="N47" i="52"/>
  <c r="L47" i="52"/>
  <c r="L46" i="52"/>
  <c r="N46" i="52" s="1"/>
  <c r="L45" i="52"/>
  <c r="N45" i="52" s="1"/>
  <c r="L43" i="52"/>
  <c r="N43" i="52" s="1"/>
  <c r="L42" i="52"/>
  <c r="N42" i="52" s="1"/>
  <c r="L41" i="52"/>
  <c r="N41" i="52" s="1"/>
  <c r="L40" i="52"/>
  <c r="N40" i="52" s="1"/>
  <c r="L39" i="52"/>
  <c r="N39" i="52" s="1"/>
  <c r="L38" i="52"/>
  <c r="N38" i="52" s="1"/>
  <c r="L37" i="52"/>
  <c r="N37" i="52" s="1"/>
  <c r="N36" i="52"/>
  <c r="L36" i="52"/>
  <c r="N35" i="52"/>
  <c r="L35" i="52"/>
  <c r="N33" i="52"/>
  <c r="L33" i="52"/>
  <c r="L32" i="52"/>
  <c r="N32" i="52" s="1"/>
  <c r="L31" i="52"/>
  <c r="N31" i="52" s="1"/>
  <c r="L30" i="52"/>
  <c r="N30" i="52" s="1"/>
  <c r="N29" i="52"/>
  <c r="L29" i="52"/>
  <c r="L28" i="52"/>
  <c r="N28" i="52" s="1"/>
  <c r="N27" i="52"/>
  <c r="L27" i="52"/>
  <c r="L26" i="52"/>
  <c r="N26" i="52" s="1"/>
  <c r="L25" i="52"/>
  <c r="N25" i="52" s="1"/>
  <c r="L23" i="52"/>
  <c r="N23" i="52" s="1"/>
  <c r="N22" i="52"/>
  <c r="L22" i="52"/>
  <c r="N21" i="52"/>
  <c r="L21" i="52"/>
  <c r="N20" i="52"/>
  <c r="L20" i="52"/>
  <c r="L19" i="52"/>
  <c r="N19" i="52" s="1"/>
  <c r="L18" i="52"/>
  <c r="N18" i="52" s="1"/>
  <c r="L17" i="52"/>
  <c r="N17" i="52" s="1"/>
  <c r="L16" i="52"/>
  <c r="N16" i="52" s="1"/>
  <c r="L15" i="52"/>
  <c r="N15" i="52" s="1"/>
  <c r="L13" i="52"/>
  <c r="N13" i="52" s="1"/>
  <c r="L12" i="52"/>
  <c r="N12" i="52" s="1"/>
  <c r="L11" i="52"/>
  <c r="N11" i="52" s="1"/>
  <c r="L10" i="52"/>
  <c r="N10" i="52" s="1"/>
  <c r="N9" i="52"/>
  <c r="L9" i="52"/>
  <c r="N8" i="52"/>
  <c r="L8" i="52"/>
  <c r="N7" i="52"/>
  <c r="L7" i="52"/>
  <c r="L6" i="52"/>
  <c r="N6" i="52" s="1"/>
  <c r="L5" i="52"/>
  <c r="N5" i="52" s="1"/>
  <c r="K3" i="52"/>
  <c r="J3" i="52"/>
  <c r="I3" i="52"/>
  <c r="H3" i="52"/>
  <c r="G3" i="52"/>
  <c r="F3" i="52"/>
  <c r="E3" i="52"/>
  <c r="D3" i="52"/>
  <c r="C3" i="52"/>
  <c r="B3" i="52"/>
  <c r="L73" i="51"/>
  <c r="N73" i="51" s="1"/>
  <c r="L72" i="51"/>
  <c r="N72" i="51" s="1"/>
  <c r="N71" i="51"/>
  <c r="L71" i="51"/>
  <c r="L70" i="51"/>
  <c r="N70" i="51" s="1"/>
  <c r="L69" i="51"/>
  <c r="N69" i="51" s="1"/>
  <c r="L68" i="51"/>
  <c r="N68" i="51" s="1"/>
  <c r="L67" i="51"/>
  <c r="N67" i="51" s="1"/>
  <c r="L66" i="51"/>
  <c r="N66" i="51" s="1"/>
  <c r="L65" i="51"/>
  <c r="N65" i="51" s="1"/>
  <c r="L63" i="51"/>
  <c r="N63" i="51" s="1"/>
  <c r="N62" i="51"/>
  <c r="L62" i="51"/>
  <c r="L61" i="51"/>
  <c r="N61" i="51" s="1"/>
  <c r="L60" i="51"/>
  <c r="N60" i="51" s="1"/>
  <c r="L59" i="51"/>
  <c r="N59" i="51" s="1"/>
  <c r="N58" i="51"/>
  <c r="L58" i="51"/>
  <c r="L57" i="51"/>
  <c r="N57" i="51" s="1"/>
  <c r="N56" i="51"/>
  <c r="L56" i="51"/>
  <c r="L55" i="51"/>
  <c r="N55" i="51" s="1"/>
  <c r="L53" i="51"/>
  <c r="N53" i="51" s="1"/>
  <c r="L52" i="51"/>
  <c r="N52" i="51" s="1"/>
  <c r="N51" i="51"/>
  <c r="L51" i="51"/>
  <c r="L50" i="51"/>
  <c r="N50" i="51" s="1"/>
  <c r="L49" i="51"/>
  <c r="N49" i="51" s="1"/>
  <c r="L48" i="51"/>
  <c r="N48" i="51" s="1"/>
  <c r="L47" i="51"/>
  <c r="N47" i="51" s="1"/>
  <c r="L46" i="51"/>
  <c r="N46" i="51" s="1"/>
  <c r="N45" i="51"/>
  <c r="L45" i="51"/>
  <c r="L43" i="51"/>
  <c r="N43" i="51" s="1"/>
  <c r="L42" i="51"/>
  <c r="N42" i="51" s="1"/>
  <c r="L41" i="51"/>
  <c r="N41" i="51" s="1"/>
  <c r="L40" i="51"/>
  <c r="N40" i="51" s="1"/>
  <c r="L39" i="51"/>
  <c r="N39" i="51" s="1"/>
  <c r="L38" i="51"/>
  <c r="N38" i="51" s="1"/>
  <c r="L37" i="51"/>
  <c r="N37" i="51" s="1"/>
  <c r="N36" i="51"/>
  <c r="L36" i="51"/>
  <c r="L35" i="51"/>
  <c r="N35" i="51" s="1"/>
  <c r="L33" i="51"/>
  <c r="N33" i="51" s="1"/>
  <c r="L32" i="51"/>
  <c r="N32" i="51" s="1"/>
  <c r="N31" i="51"/>
  <c r="L31" i="51"/>
  <c r="L30" i="51"/>
  <c r="N30" i="51" s="1"/>
  <c r="N29" i="51"/>
  <c r="L29" i="51"/>
  <c r="L28" i="51"/>
  <c r="N28" i="51" s="1"/>
  <c r="L27" i="51"/>
  <c r="N27" i="51" s="1"/>
  <c r="L26" i="51"/>
  <c r="N26" i="51" s="1"/>
  <c r="N25" i="51"/>
  <c r="L25" i="51"/>
  <c r="L23" i="51"/>
  <c r="N23" i="51" s="1"/>
  <c r="L22" i="51"/>
  <c r="N22" i="51" s="1"/>
  <c r="L21" i="51"/>
  <c r="N21" i="51" s="1"/>
  <c r="L20" i="51"/>
  <c r="N20" i="51" s="1"/>
  <c r="L19" i="51"/>
  <c r="N19" i="51" s="1"/>
  <c r="N18" i="51"/>
  <c r="L18" i="51"/>
  <c r="L17" i="51"/>
  <c r="N17" i="51" s="1"/>
  <c r="L16" i="51"/>
  <c r="N16" i="51" s="1"/>
  <c r="L15" i="51"/>
  <c r="N15" i="51" s="1"/>
  <c r="L13" i="51"/>
  <c r="N13" i="51" s="1"/>
  <c r="L12" i="51"/>
  <c r="N12" i="51" s="1"/>
  <c r="L11" i="51"/>
  <c r="N11" i="51" s="1"/>
  <c r="L10" i="51"/>
  <c r="N10" i="51" s="1"/>
  <c r="N9" i="51"/>
  <c r="L9" i="51"/>
  <c r="L8" i="51"/>
  <c r="N8" i="51" s="1"/>
  <c r="L7" i="51"/>
  <c r="N7" i="51" s="1"/>
  <c r="L6" i="51"/>
  <c r="N6" i="51" s="1"/>
  <c r="N5" i="51"/>
  <c r="L5" i="51"/>
  <c r="K3" i="51"/>
  <c r="J3" i="51"/>
  <c r="I3" i="51"/>
  <c r="H3" i="51"/>
  <c r="G3" i="51"/>
  <c r="F3" i="51"/>
  <c r="E3" i="51"/>
  <c r="D3" i="51"/>
  <c r="C3" i="51"/>
  <c r="B3" i="51"/>
  <c r="N73" i="50"/>
  <c r="L73" i="50"/>
  <c r="L72" i="50"/>
  <c r="N72" i="50" s="1"/>
  <c r="N71" i="50"/>
  <c r="L71" i="50"/>
  <c r="L70" i="50"/>
  <c r="N70" i="50" s="1"/>
  <c r="N69" i="50"/>
  <c r="L69" i="50"/>
  <c r="L68" i="50"/>
  <c r="N68" i="50" s="1"/>
  <c r="L67" i="50"/>
  <c r="N67" i="50" s="1"/>
  <c r="N66" i="50"/>
  <c r="L66" i="50"/>
  <c r="L65" i="50"/>
  <c r="N65" i="50" s="1"/>
  <c r="L63" i="50"/>
  <c r="N63" i="50" s="1"/>
  <c r="N62" i="50"/>
  <c r="L62" i="50"/>
  <c r="L61" i="50"/>
  <c r="N61" i="50" s="1"/>
  <c r="L60" i="50"/>
  <c r="N60" i="50" s="1"/>
  <c r="L59" i="50"/>
  <c r="N59" i="50" s="1"/>
  <c r="N58" i="50"/>
  <c r="L58" i="50"/>
  <c r="L57" i="50"/>
  <c r="N57" i="50" s="1"/>
  <c r="N56" i="50"/>
  <c r="L56" i="50"/>
  <c r="L55" i="50"/>
  <c r="N55" i="50" s="1"/>
  <c r="L53" i="50"/>
  <c r="N53" i="50" s="1"/>
  <c r="L52" i="50"/>
  <c r="N52" i="50" s="1"/>
  <c r="L51" i="50"/>
  <c r="N51" i="50" s="1"/>
  <c r="L50" i="50"/>
  <c r="N50" i="50" s="1"/>
  <c r="N49" i="50"/>
  <c r="L49" i="50"/>
  <c r="L48" i="50"/>
  <c r="N48" i="50" s="1"/>
  <c r="N47" i="50"/>
  <c r="L47" i="50"/>
  <c r="L46" i="50"/>
  <c r="N46" i="50" s="1"/>
  <c r="L45" i="50"/>
  <c r="N45" i="50" s="1"/>
  <c r="L43" i="50"/>
  <c r="N43" i="50" s="1"/>
  <c r="N42" i="50"/>
  <c r="L42" i="50"/>
  <c r="L41" i="50"/>
  <c r="N41" i="50" s="1"/>
  <c r="L40" i="50"/>
  <c r="N40" i="50" s="1"/>
  <c r="N39" i="50"/>
  <c r="L39" i="50"/>
  <c r="L38" i="50"/>
  <c r="N38" i="50" s="1"/>
  <c r="L37" i="50"/>
  <c r="N37" i="50" s="1"/>
  <c r="N36" i="50"/>
  <c r="L36" i="50"/>
  <c r="L35" i="50"/>
  <c r="N35" i="50" s="1"/>
  <c r="N33" i="50"/>
  <c r="L33" i="50"/>
  <c r="L32" i="50"/>
  <c r="N32" i="50" s="1"/>
  <c r="N31" i="50"/>
  <c r="L31" i="50"/>
  <c r="L30" i="50"/>
  <c r="N30" i="50" s="1"/>
  <c r="N29" i="50"/>
  <c r="L29" i="50"/>
  <c r="L28" i="50"/>
  <c r="N28" i="50" s="1"/>
  <c r="L27" i="50"/>
  <c r="N27" i="50" s="1"/>
  <c r="N26" i="50"/>
  <c r="L26" i="50"/>
  <c r="L25" i="50"/>
  <c r="N25" i="50" s="1"/>
  <c r="L23" i="50"/>
  <c r="N23" i="50" s="1"/>
  <c r="N22" i="50"/>
  <c r="L22" i="50"/>
  <c r="L21" i="50"/>
  <c r="N21" i="50" s="1"/>
  <c r="L20" i="50"/>
  <c r="N20" i="50" s="1"/>
  <c r="L19" i="50"/>
  <c r="N19" i="50" s="1"/>
  <c r="N18" i="50"/>
  <c r="L18" i="50"/>
  <c r="L17" i="50"/>
  <c r="N17" i="50" s="1"/>
  <c r="N16" i="50"/>
  <c r="L16" i="50"/>
  <c r="L15" i="50"/>
  <c r="N15" i="50" s="1"/>
  <c r="L13" i="50"/>
  <c r="N13" i="50" s="1"/>
  <c r="L12" i="50"/>
  <c r="N12" i="50" s="1"/>
  <c r="L11" i="50"/>
  <c r="N11" i="50" s="1"/>
  <c r="L10" i="50"/>
  <c r="N10" i="50" s="1"/>
  <c r="N9" i="50"/>
  <c r="L9" i="50"/>
  <c r="L8" i="50"/>
  <c r="N8" i="50" s="1"/>
  <c r="N7" i="50"/>
  <c r="L7" i="50"/>
  <c r="L6" i="50"/>
  <c r="N6" i="50" s="1"/>
  <c r="L5" i="50"/>
  <c r="N5" i="50" s="1"/>
  <c r="K3" i="50"/>
  <c r="J3" i="50"/>
  <c r="I3" i="50"/>
  <c r="H3" i="50"/>
  <c r="G3" i="50"/>
  <c r="F3" i="50"/>
  <c r="E3" i="50"/>
  <c r="D3" i="50"/>
  <c r="C3" i="50"/>
  <c r="B3" i="50"/>
  <c r="L73" i="49"/>
  <c r="N73" i="49" s="1"/>
  <c r="L72" i="49"/>
  <c r="N72" i="49" s="1"/>
  <c r="N71" i="49"/>
  <c r="L71" i="49"/>
  <c r="L70" i="49"/>
  <c r="N70" i="49" s="1"/>
  <c r="L69" i="49"/>
  <c r="N69" i="49" s="1"/>
  <c r="N68" i="49"/>
  <c r="L68" i="49"/>
  <c r="L67" i="49"/>
  <c r="N67" i="49" s="1"/>
  <c r="L66" i="49"/>
  <c r="N66" i="49" s="1"/>
  <c r="N65" i="49"/>
  <c r="L65" i="49"/>
  <c r="L63" i="49"/>
  <c r="N63" i="49" s="1"/>
  <c r="N62" i="49"/>
  <c r="L62" i="49"/>
  <c r="L61" i="49"/>
  <c r="N61" i="49" s="1"/>
  <c r="N60" i="49"/>
  <c r="L60" i="49"/>
  <c r="L59" i="49"/>
  <c r="N59" i="49" s="1"/>
  <c r="N58" i="49"/>
  <c r="L58" i="49"/>
  <c r="L57" i="49"/>
  <c r="N57" i="49" s="1"/>
  <c r="L56" i="49"/>
  <c r="N56" i="49" s="1"/>
  <c r="N55" i="49"/>
  <c r="L55" i="49"/>
  <c r="L53" i="49"/>
  <c r="N53" i="49" s="1"/>
  <c r="L52" i="49"/>
  <c r="N52" i="49" s="1"/>
  <c r="N51" i="49"/>
  <c r="L51" i="49"/>
  <c r="L50" i="49"/>
  <c r="N50" i="49" s="1"/>
  <c r="L49" i="49"/>
  <c r="N49" i="49" s="1"/>
  <c r="L48" i="49"/>
  <c r="N48" i="49" s="1"/>
  <c r="N47" i="49"/>
  <c r="L47" i="49"/>
  <c r="L46" i="49"/>
  <c r="N46" i="49" s="1"/>
  <c r="N45" i="49"/>
  <c r="L45" i="49"/>
  <c r="L43" i="49"/>
  <c r="N43" i="49" s="1"/>
  <c r="N42" i="49"/>
  <c r="L42" i="49"/>
  <c r="L41" i="49"/>
  <c r="N41" i="49" s="1"/>
  <c r="L40" i="49"/>
  <c r="N40" i="49" s="1"/>
  <c r="L39" i="49"/>
  <c r="N39" i="49" s="1"/>
  <c r="N38" i="49"/>
  <c r="L38" i="49"/>
  <c r="L37" i="49"/>
  <c r="N37" i="49" s="1"/>
  <c r="N36" i="49"/>
  <c r="L36" i="49"/>
  <c r="N35" i="49"/>
  <c r="L35" i="49"/>
  <c r="L33" i="49"/>
  <c r="N33" i="49" s="1"/>
  <c r="L32" i="49"/>
  <c r="N32" i="49" s="1"/>
  <c r="N31" i="49"/>
  <c r="L31" i="49"/>
  <c r="L30" i="49"/>
  <c r="N30" i="49" s="1"/>
  <c r="L29" i="49"/>
  <c r="N29" i="49" s="1"/>
  <c r="N28" i="49"/>
  <c r="L28" i="49"/>
  <c r="N27" i="49"/>
  <c r="L27" i="49"/>
  <c r="L26" i="49"/>
  <c r="N26" i="49" s="1"/>
  <c r="N25" i="49"/>
  <c r="L25" i="49"/>
  <c r="L23" i="49"/>
  <c r="N23" i="49" s="1"/>
  <c r="N22" i="49"/>
  <c r="L22" i="49"/>
  <c r="L21" i="49"/>
  <c r="N21" i="49" s="1"/>
  <c r="N20" i="49"/>
  <c r="L20" i="49"/>
  <c r="L19" i="49"/>
  <c r="N19" i="49" s="1"/>
  <c r="N18" i="49"/>
  <c r="L18" i="49"/>
  <c r="L17" i="49"/>
  <c r="N17" i="49" s="1"/>
  <c r="L16" i="49"/>
  <c r="N16" i="49" s="1"/>
  <c r="N15" i="49"/>
  <c r="L15" i="49"/>
  <c r="L13" i="49"/>
  <c r="N13" i="49" s="1"/>
  <c r="L12" i="49"/>
  <c r="N12" i="49" s="1"/>
  <c r="N11" i="49"/>
  <c r="L11" i="49"/>
  <c r="L10" i="49"/>
  <c r="N10" i="49" s="1"/>
  <c r="L9" i="49"/>
  <c r="N9" i="49" s="1"/>
  <c r="L8" i="49"/>
  <c r="N8" i="49" s="1"/>
  <c r="N7" i="49"/>
  <c r="L7" i="49"/>
  <c r="L6" i="49"/>
  <c r="N6" i="49" s="1"/>
  <c r="N5" i="49"/>
  <c r="L5" i="49"/>
  <c r="K3" i="49"/>
  <c r="J3" i="49"/>
  <c r="I3" i="49"/>
  <c r="H3" i="49"/>
  <c r="G3" i="49"/>
  <c r="F3" i="49"/>
  <c r="E3" i="49"/>
  <c r="D3" i="49"/>
  <c r="C3" i="49"/>
  <c r="B3" i="49"/>
  <c r="L73" i="48"/>
  <c r="N73" i="48" s="1"/>
  <c r="L72" i="48"/>
  <c r="N72" i="48" s="1"/>
  <c r="L71" i="48"/>
  <c r="N71" i="48" s="1"/>
  <c r="N70" i="48"/>
  <c r="L70" i="48"/>
  <c r="N69" i="48"/>
  <c r="L69" i="48"/>
  <c r="L68" i="48"/>
  <c r="N68" i="48" s="1"/>
  <c r="L67" i="48"/>
  <c r="N67" i="48" s="1"/>
  <c r="L66" i="48"/>
  <c r="N66" i="48" s="1"/>
  <c r="L65" i="48"/>
  <c r="N65" i="48" s="1"/>
  <c r="L63" i="48"/>
  <c r="N63" i="48" s="1"/>
  <c r="N62" i="48"/>
  <c r="L62" i="48"/>
  <c r="N61" i="48"/>
  <c r="L61" i="48"/>
  <c r="L60" i="48"/>
  <c r="N60" i="48" s="1"/>
  <c r="L59" i="48"/>
  <c r="N59" i="48" s="1"/>
  <c r="L58" i="48"/>
  <c r="N58" i="48" s="1"/>
  <c r="L57" i="48"/>
  <c r="N57" i="48" s="1"/>
  <c r="L56" i="48"/>
  <c r="N56" i="48" s="1"/>
  <c r="N55" i="48"/>
  <c r="L55" i="48"/>
  <c r="L53" i="48"/>
  <c r="N53" i="48" s="1"/>
  <c r="L52" i="48"/>
  <c r="N52" i="48" s="1"/>
  <c r="L51" i="48"/>
  <c r="N51" i="48" s="1"/>
  <c r="L50" i="48"/>
  <c r="N50" i="48" s="1"/>
  <c r="L49" i="48"/>
  <c r="N49" i="48" s="1"/>
  <c r="L48" i="48"/>
  <c r="N48" i="48" s="1"/>
  <c r="L47" i="48"/>
  <c r="N47" i="48" s="1"/>
  <c r="L46" i="48"/>
  <c r="N46" i="48" s="1"/>
  <c r="N45" i="48"/>
  <c r="L45" i="48"/>
  <c r="N43" i="48"/>
  <c r="L43" i="48"/>
  <c r="L42" i="48"/>
  <c r="N42" i="48" s="1"/>
  <c r="L41" i="48"/>
  <c r="N41" i="48" s="1"/>
  <c r="L40" i="48"/>
  <c r="N40" i="48" s="1"/>
  <c r="L39" i="48"/>
  <c r="N39" i="48" s="1"/>
  <c r="N38" i="48"/>
  <c r="L38" i="48"/>
  <c r="N37" i="48"/>
  <c r="L37" i="48"/>
  <c r="L36" i="48"/>
  <c r="N36" i="48" s="1"/>
  <c r="L35" i="48"/>
  <c r="N35" i="48" s="1"/>
  <c r="L33" i="48"/>
  <c r="N33" i="48" s="1"/>
  <c r="L32" i="48"/>
  <c r="N32" i="48" s="1"/>
  <c r="L31" i="48"/>
  <c r="N31" i="48" s="1"/>
  <c r="N30" i="48"/>
  <c r="L30" i="48"/>
  <c r="N29" i="48"/>
  <c r="L29" i="48"/>
  <c r="L28" i="48"/>
  <c r="N28" i="48" s="1"/>
  <c r="L27" i="48"/>
  <c r="N27" i="48" s="1"/>
  <c r="L26" i="48"/>
  <c r="N26" i="48" s="1"/>
  <c r="N25" i="48"/>
  <c r="L25" i="48"/>
  <c r="L23" i="48"/>
  <c r="N23" i="48" s="1"/>
  <c r="N22" i="48"/>
  <c r="L22" i="48"/>
  <c r="N21" i="48"/>
  <c r="L21" i="48"/>
  <c r="L20" i="48"/>
  <c r="N20" i="48" s="1"/>
  <c r="L19" i="48"/>
  <c r="N19" i="48" s="1"/>
  <c r="L18" i="48"/>
  <c r="N18" i="48" s="1"/>
  <c r="L17" i="48"/>
  <c r="N17" i="48" s="1"/>
  <c r="L16" i="48"/>
  <c r="N16" i="48" s="1"/>
  <c r="N15" i="48"/>
  <c r="L15" i="48"/>
  <c r="L13" i="48"/>
  <c r="N13" i="48" s="1"/>
  <c r="L12" i="48"/>
  <c r="N12" i="48" s="1"/>
  <c r="N11" i="48"/>
  <c r="L11" i="48"/>
  <c r="L10" i="48"/>
  <c r="N10" i="48" s="1"/>
  <c r="L9" i="48"/>
  <c r="N9" i="48" s="1"/>
  <c r="L8" i="48"/>
  <c r="N8" i="48" s="1"/>
  <c r="L7" i="48"/>
  <c r="N7" i="48" s="1"/>
  <c r="L6" i="48"/>
  <c r="N6" i="48" s="1"/>
  <c r="N5" i="48"/>
  <c r="L5" i="48"/>
  <c r="K3" i="48"/>
  <c r="J3" i="48"/>
  <c r="I3" i="48"/>
  <c r="H3" i="48"/>
  <c r="G3" i="48"/>
  <c r="F3" i="48"/>
  <c r="E3" i="48"/>
  <c r="D3" i="48"/>
  <c r="C3" i="48"/>
  <c r="B3" i="48"/>
  <c r="N73" i="47"/>
  <c r="L73" i="47"/>
  <c r="L72" i="47"/>
  <c r="N72" i="47" s="1"/>
  <c r="L71" i="47"/>
  <c r="N71" i="47" s="1"/>
  <c r="L70" i="47"/>
  <c r="N70" i="47" s="1"/>
  <c r="L69" i="47"/>
  <c r="N69" i="47" s="1"/>
  <c r="L68" i="47"/>
  <c r="N68" i="47" s="1"/>
  <c r="N67" i="47"/>
  <c r="L67" i="47"/>
  <c r="N66" i="47"/>
  <c r="L66" i="47"/>
  <c r="N65" i="47"/>
  <c r="L65" i="47"/>
  <c r="L63" i="47"/>
  <c r="N63" i="47" s="1"/>
  <c r="L62" i="47"/>
  <c r="N62" i="47" s="1"/>
  <c r="L61" i="47"/>
  <c r="N61" i="47" s="1"/>
  <c r="L60" i="47"/>
  <c r="N60" i="47" s="1"/>
  <c r="N59" i="47"/>
  <c r="L59" i="47"/>
  <c r="N58" i="47"/>
  <c r="L58" i="47"/>
  <c r="N57" i="47"/>
  <c r="L57" i="47"/>
  <c r="L56" i="47"/>
  <c r="N56" i="47" s="1"/>
  <c r="L55" i="47"/>
  <c r="N55" i="47" s="1"/>
  <c r="L53" i="47"/>
  <c r="N53" i="47" s="1"/>
  <c r="L52" i="47"/>
  <c r="N52" i="47" s="1"/>
  <c r="N51" i="47"/>
  <c r="L51" i="47"/>
  <c r="N50" i="47"/>
  <c r="L50" i="47"/>
  <c r="L49" i="47"/>
  <c r="N49" i="47" s="1"/>
  <c r="L48" i="47"/>
  <c r="N48" i="47" s="1"/>
  <c r="L47" i="47"/>
  <c r="N47" i="47" s="1"/>
  <c r="N46" i="47"/>
  <c r="L46" i="47"/>
  <c r="L45" i="47"/>
  <c r="N45" i="47" s="1"/>
  <c r="N43" i="47"/>
  <c r="L43" i="47"/>
  <c r="L42" i="47"/>
  <c r="N42" i="47" s="1"/>
  <c r="L41" i="47"/>
  <c r="N41" i="47" s="1"/>
  <c r="N40" i="47"/>
  <c r="L40" i="47"/>
  <c r="L39" i="47"/>
  <c r="N39" i="47" s="1"/>
  <c r="N38" i="47"/>
  <c r="L38" i="47"/>
  <c r="L37" i="47"/>
  <c r="N37" i="47" s="1"/>
  <c r="L36" i="47"/>
  <c r="N36" i="47" s="1"/>
  <c r="L35" i="47"/>
  <c r="N35" i="47" s="1"/>
  <c r="N33" i="47"/>
  <c r="L33" i="47"/>
  <c r="N32" i="47"/>
  <c r="L32" i="47"/>
  <c r="L31" i="47"/>
  <c r="N31" i="47" s="1"/>
  <c r="L30" i="47"/>
  <c r="N30" i="47" s="1"/>
  <c r="L29" i="47"/>
  <c r="N29" i="47" s="1"/>
  <c r="L28" i="47"/>
  <c r="N28" i="47" s="1"/>
  <c r="N27" i="47"/>
  <c r="L27" i="47"/>
  <c r="L26" i="47"/>
  <c r="N26" i="47" s="1"/>
  <c r="L25" i="47"/>
  <c r="N25" i="47" s="1"/>
  <c r="L23" i="47"/>
  <c r="N23" i="47" s="1"/>
  <c r="L22" i="47"/>
  <c r="N22" i="47" s="1"/>
  <c r="L21" i="47"/>
  <c r="N21" i="47" s="1"/>
  <c r="L20" i="47"/>
  <c r="N20" i="47" s="1"/>
  <c r="N19" i="47"/>
  <c r="L19" i="47"/>
  <c r="N18" i="47"/>
  <c r="L18" i="47"/>
  <c r="L17" i="47"/>
  <c r="N17" i="47" s="1"/>
  <c r="L16" i="47"/>
  <c r="N16" i="47" s="1"/>
  <c r="L15" i="47"/>
  <c r="N15" i="47" s="1"/>
  <c r="L13" i="47"/>
  <c r="N13" i="47" s="1"/>
  <c r="L12" i="47"/>
  <c r="N12" i="47" s="1"/>
  <c r="N11" i="47"/>
  <c r="L11" i="47"/>
  <c r="L10" i="47"/>
  <c r="N10" i="47" s="1"/>
  <c r="L9" i="47"/>
  <c r="N9" i="47" s="1"/>
  <c r="L8" i="47"/>
  <c r="N8" i="47" s="1"/>
  <c r="L7" i="47"/>
  <c r="N7" i="47" s="1"/>
  <c r="L6" i="47"/>
  <c r="N6" i="47" s="1"/>
  <c r="L5" i="47"/>
  <c r="N5" i="47" s="1"/>
  <c r="K3" i="47"/>
  <c r="J3" i="47"/>
  <c r="I3" i="47"/>
  <c r="H3" i="47"/>
  <c r="G3" i="47"/>
  <c r="F3" i="47"/>
  <c r="E3" i="47"/>
  <c r="D3" i="47"/>
  <c r="C3" i="47"/>
  <c r="B3" i="47"/>
  <c r="L73" i="46"/>
  <c r="N73" i="46" s="1"/>
  <c r="L72" i="46"/>
  <c r="N72" i="46" s="1"/>
  <c r="L71" i="46"/>
  <c r="N71" i="46" s="1"/>
  <c r="L70" i="46"/>
  <c r="N70" i="46" s="1"/>
  <c r="L69" i="46"/>
  <c r="N69" i="46" s="1"/>
  <c r="L68" i="46"/>
  <c r="N68" i="46" s="1"/>
  <c r="L67" i="46"/>
  <c r="N67" i="46" s="1"/>
  <c r="L66" i="46"/>
  <c r="N66" i="46" s="1"/>
  <c r="L65" i="46"/>
  <c r="N65" i="46" s="1"/>
  <c r="L63" i="46"/>
  <c r="N63" i="46" s="1"/>
  <c r="L62" i="46"/>
  <c r="N62" i="46" s="1"/>
  <c r="L61" i="46"/>
  <c r="N61" i="46" s="1"/>
  <c r="L60" i="46"/>
  <c r="N60" i="46" s="1"/>
  <c r="L59" i="46"/>
  <c r="N59" i="46" s="1"/>
  <c r="L58" i="46"/>
  <c r="N58" i="46" s="1"/>
  <c r="L57" i="46"/>
  <c r="N57" i="46" s="1"/>
  <c r="L56" i="46"/>
  <c r="N56" i="46" s="1"/>
  <c r="L55" i="46"/>
  <c r="N55" i="46" s="1"/>
  <c r="N53" i="46"/>
  <c r="L53" i="46"/>
  <c r="N52" i="46"/>
  <c r="L52" i="46"/>
  <c r="L51" i="46"/>
  <c r="N51" i="46" s="1"/>
  <c r="L50" i="46"/>
  <c r="N50" i="46" s="1"/>
  <c r="L49" i="46"/>
  <c r="N49" i="46" s="1"/>
  <c r="L48" i="46"/>
  <c r="N48" i="46" s="1"/>
  <c r="L47" i="46"/>
  <c r="N47" i="46" s="1"/>
  <c r="L46" i="46"/>
  <c r="N46" i="46" s="1"/>
  <c r="L45" i="46"/>
  <c r="N45" i="46" s="1"/>
  <c r="N43" i="46"/>
  <c r="L43" i="46"/>
  <c r="N42" i="46"/>
  <c r="L42" i="46"/>
  <c r="L41" i="46"/>
  <c r="N41" i="46" s="1"/>
  <c r="L40" i="46"/>
  <c r="N40" i="46" s="1"/>
  <c r="N39" i="46"/>
  <c r="L39" i="46"/>
  <c r="L38" i="46"/>
  <c r="N38" i="46" s="1"/>
  <c r="N37" i="46"/>
  <c r="L37" i="46"/>
  <c r="L36" i="46"/>
  <c r="N36" i="46" s="1"/>
  <c r="N35" i="46"/>
  <c r="L35" i="46"/>
  <c r="L33" i="46"/>
  <c r="N33" i="46" s="1"/>
  <c r="L32" i="46"/>
  <c r="N32" i="46" s="1"/>
  <c r="L31" i="46"/>
  <c r="N31" i="46" s="1"/>
  <c r="N30" i="46"/>
  <c r="L30" i="46"/>
  <c r="N29" i="46"/>
  <c r="L29" i="46"/>
  <c r="L28" i="46"/>
  <c r="N28" i="46" s="1"/>
  <c r="L27" i="46"/>
  <c r="N27" i="46" s="1"/>
  <c r="N26" i="46"/>
  <c r="L26" i="46"/>
  <c r="L25" i="46"/>
  <c r="N25" i="46" s="1"/>
  <c r="L23" i="46"/>
  <c r="N23" i="46" s="1"/>
  <c r="N22" i="46"/>
  <c r="L22" i="46"/>
  <c r="L21" i="46"/>
  <c r="N21" i="46" s="1"/>
  <c r="N20" i="46"/>
  <c r="L20" i="46"/>
  <c r="N19" i="46"/>
  <c r="L19" i="46"/>
  <c r="L18" i="46"/>
  <c r="N18" i="46" s="1"/>
  <c r="N17" i="46"/>
  <c r="L17" i="46"/>
  <c r="N16" i="46"/>
  <c r="L16" i="46"/>
  <c r="N15" i="46"/>
  <c r="L15" i="46"/>
  <c r="N13" i="46"/>
  <c r="L13" i="46"/>
  <c r="L12" i="46"/>
  <c r="N12" i="46" s="1"/>
  <c r="L11" i="46"/>
  <c r="N11" i="46" s="1"/>
  <c r="L10" i="46"/>
  <c r="N10" i="46" s="1"/>
  <c r="L9" i="46"/>
  <c r="N9" i="46" s="1"/>
  <c r="N8" i="46"/>
  <c r="L8" i="46"/>
  <c r="L7" i="46"/>
  <c r="N7" i="46" s="1"/>
  <c r="L6" i="46"/>
  <c r="N6" i="46" s="1"/>
  <c r="L5" i="46"/>
  <c r="N5" i="46" s="1"/>
  <c r="K3" i="46"/>
  <c r="J3" i="46"/>
  <c r="I3" i="46"/>
  <c r="H3" i="46"/>
  <c r="G3" i="46"/>
  <c r="F3" i="46"/>
  <c r="E3" i="46"/>
  <c r="D3" i="46"/>
  <c r="C3" i="46"/>
  <c r="B3" i="46"/>
  <c r="L73" i="45"/>
  <c r="N73" i="45" s="1"/>
  <c r="L72" i="45"/>
  <c r="N72" i="45" s="1"/>
  <c r="N71" i="45"/>
  <c r="L71" i="45"/>
  <c r="L70" i="45"/>
  <c r="N70" i="45" s="1"/>
  <c r="N69" i="45"/>
  <c r="L69" i="45"/>
  <c r="L68" i="45"/>
  <c r="N68" i="45" s="1"/>
  <c r="L67" i="45"/>
  <c r="N67" i="45" s="1"/>
  <c r="N66" i="45"/>
  <c r="L66" i="45"/>
  <c r="N65" i="45"/>
  <c r="L65" i="45"/>
  <c r="N63" i="45"/>
  <c r="L63" i="45"/>
  <c r="L62" i="45"/>
  <c r="N62" i="45" s="1"/>
  <c r="N61" i="45"/>
  <c r="L61" i="45"/>
  <c r="L60" i="45"/>
  <c r="N60" i="45" s="1"/>
  <c r="L59" i="45"/>
  <c r="N59" i="45" s="1"/>
  <c r="L58" i="45"/>
  <c r="N58" i="45" s="1"/>
  <c r="L57" i="45"/>
  <c r="N57" i="45" s="1"/>
  <c r="L56" i="45"/>
  <c r="N56" i="45" s="1"/>
  <c r="L55" i="45"/>
  <c r="N55" i="45" s="1"/>
  <c r="L53" i="45"/>
  <c r="N53" i="45" s="1"/>
  <c r="L52" i="45"/>
  <c r="N52" i="45" s="1"/>
  <c r="L51" i="45"/>
  <c r="N51" i="45" s="1"/>
  <c r="L50" i="45"/>
  <c r="N50" i="45" s="1"/>
  <c r="N49" i="45"/>
  <c r="L49" i="45"/>
  <c r="N48" i="45"/>
  <c r="L48" i="45"/>
  <c r="L47" i="45"/>
  <c r="N47" i="45" s="1"/>
  <c r="L46" i="45"/>
  <c r="N46" i="45" s="1"/>
  <c r="L45" i="45"/>
  <c r="N45" i="45" s="1"/>
  <c r="L43" i="45"/>
  <c r="N43" i="45" s="1"/>
  <c r="L42" i="45"/>
  <c r="N42" i="45" s="1"/>
  <c r="L41" i="45"/>
  <c r="N41" i="45" s="1"/>
  <c r="L40" i="45"/>
  <c r="N40" i="45" s="1"/>
  <c r="N39" i="45"/>
  <c r="L39" i="45"/>
  <c r="L38" i="45"/>
  <c r="N38" i="45" s="1"/>
  <c r="L37" i="45"/>
  <c r="N37" i="45" s="1"/>
  <c r="L36" i="45"/>
  <c r="N36" i="45" s="1"/>
  <c r="N35" i="45"/>
  <c r="L35" i="45"/>
  <c r="L33" i="45"/>
  <c r="N33" i="45" s="1"/>
  <c r="N32" i="45"/>
  <c r="L32" i="45"/>
  <c r="L31" i="45"/>
  <c r="N31" i="45" s="1"/>
  <c r="L30" i="45"/>
  <c r="N30" i="45" s="1"/>
  <c r="L29" i="45"/>
  <c r="N29" i="45" s="1"/>
  <c r="L28" i="45"/>
  <c r="N28" i="45" s="1"/>
  <c r="L27" i="45"/>
  <c r="N27" i="45" s="1"/>
  <c r="N26" i="45"/>
  <c r="L26" i="45"/>
  <c r="N25" i="45"/>
  <c r="L25" i="45"/>
  <c r="L23" i="45"/>
  <c r="N23" i="45" s="1"/>
  <c r="N22" i="45"/>
  <c r="L22" i="45"/>
  <c r="N21" i="45"/>
  <c r="L21" i="45"/>
  <c r="L20" i="45"/>
  <c r="N20" i="45" s="1"/>
  <c r="L19" i="45"/>
  <c r="N19" i="45" s="1"/>
  <c r="N18" i="45"/>
  <c r="L18" i="45"/>
  <c r="L17" i="45"/>
  <c r="N17" i="45" s="1"/>
  <c r="N16" i="45"/>
  <c r="L16" i="45"/>
  <c r="L15" i="45"/>
  <c r="N15" i="45" s="1"/>
  <c r="L13" i="45"/>
  <c r="N13" i="45" s="1"/>
  <c r="N12" i="45"/>
  <c r="L12" i="45"/>
  <c r="N11" i="45"/>
  <c r="L11" i="45"/>
  <c r="N10" i="45"/>
  <c r="L10" i="45"/>
  <c r="N9" i="45"/>
  <c r="L9" i="45"/>
  <c r="L8" i="45"/>
  <c r="N8" i="45" s="1"/>
  <c r="L7" i="45"/>
  <c r="N7" i="45" s="1"/>
  <c r="L6" i="45"/>
  <c r="N6" i="45" s="1"/>
  <c r="L5" i="45"/>
  <c r="N5" i="45" s="1"/>
  <c r="K3" i="45"/>
  <c r="J3" i="45"/>
  <c r="I3" i="45"/>
  <c r="H3" i="45"/>
  <c r="G3" i="45"/>
  <c r="F3" i="45"/>
  <c r="E3" i="45"/>
  <c r="D3" i="45"/>
  <c r="C3" i="45"/>
  <c r="B3" i="45"/>
  <c r="L73" i="44"/>
  <c r="N73" i="44" s="1"/>
  <c r="L72" i="44"/>
  <c r="N72" i="44" s="1"/>
  <c r="L71" i="44"/>
  <c r="N71" i="44" s="1"/>
  <c r="N70" i="44"/>
  <c r="L70" i="44"/>
  <c r="N69" i="44"/>
  <c r="L69" i="44"/>
  <c r="L68" i="44"/>
  <c r="N68" i="44" s="1"/>
  <c r="L67" i="44"/>
  <c r="N67" i="44" s="1"/>
  <c r="L66" i="44"/>
  <c r="N66" i="44" s="1"/>
  <c r="L65" i="44"/>
  <c r="N65" i="44" s="1"/>
  <c r="N63" i="44"/>
  <c r="L63" i="44"/>
  <c r="N62" i="44"/>
  <c r="L62" i="44"/>
  <c r="N61" i="44"/>
  <c r="L61" i="44"/>
  <c r="L60" i="44"/>
  <c r="N60" i="44" s="1"/>
  <c r="L59" i="44"/>
  <c r="N59" i="44" s="1"/>
  <c r="L58" i="44"/>
  <c r="N58" i="44" s="1"/>
  <c r="N57" i="44"/>
  <c r="L57" i="44"/>
  <c r="N56" i="44"/>
  <c r="L56" i="44"/>
  <c r="N55" i="44"/>
  <c r="L55" i="44"/>
  <c r="L53" i="44"/>
  <c r="N53" i="44" s="1"/>
  <c r="N52" i="44"/>
  <c r="L52" i="44"/>
  <c r="L51" i="44"/>
  <c r="N51" i="44" s="1"/>
  <c r="N50" i="44"/>
  <c r="L50" i="44"/>
  <c r="N49" i="44"/>
  <c r="L49" i="44"/>
  <c r="N48" i="44"/>
  <c r="L48" i="44"/>
  <c r="L47" i="44"/>
  <c r="N47" i="44" s="1"/>
  <c r="L46" i="44"/>
  <c r="N46" i="44" s="1"/>
  <c r="L45" i="44"/>
  <c r="N45" i="44" s="1"/>
  <c r="L43" i="44"/>
  <c r="N43" i="44" s="1"/>
  <c r="N42" i="44"/>
  <c r="L42" i="44"/>
  <c r="N41" i="44"/>
  <c r="L41" i="44"/>
  <c r="L40" i="44"/>
  <c r="N40" i="44" s="1"/>
  <c r="L39" i="44"/>
  <c r="N39" i="44" s="1"/>
  <c r="L38" i="44"/>
  <c r="N38" i="44" s="1"/>
  <c r="N37" i="44"/>
  <c r="L37" i="44"/>
  <c r="L36" i="44"/>
  <c r="N36" i="44" s="1"/>
  <c r="N35" i="44"/>
  <c r="L35" i="44"/>
  <c r="L33" i="44"/>
  <c r="N33" i="44" s="1"/>
  <c r="L32" i="44"/>
  <c r="N32" i="44" s="1"/>
  <c r="L31" i="44"/>
  <c r="N31" i="44" s="1"/>
  <c r="N30" i="44"/>
  <c r="L30" i="44"/>
  <c r="N29" i="44"/>
  <c r="L29" i="44"/>
  <c r="L28" i="44"/>
  <c r="N28" i="44" s="1"/>
  <c r="L27" i="44"/>
  <c r="N27" i="44" s="1"/>
  <c r="L26" i="44"/>
  <c r="N26" i="44" s="1"/>
  <c r="L25" i="44"/>
  <c r="N25" i="44" s="1"/>
  <c r="N23" i="44"/>
  <c r="L23" i="44"/>
  <c r="N22" i="44"/>
  <c r="L22" i="44"/>
  <c r="N21" i="44"/>
  <c r="L21" i="44"/>
  <c r="L20" i="44"/>
  <c r="N20" i="44" s="1"/>
  <c r="L19" i="44"/>
  <c r="N19" i="44" s="1"/>
  <c r="L18" i="44"/>
  <c r="N18" i="44" s="1"/>
  <c r="N17" i="44"/>
  <c r="L17" i="44"/>
  <c r="N16" i="44"/>
  <c r="L16" i="44"/>
  <c r="N15" i="44"/>
  <c r="L15" i="44"/>
  <c r="L13" i="44"/>
  <c r="N13" i="44" s="1"/>
  <c r="N12" i="44"/>
  <c r="L12" i="44"/>
  <c r="L11" i="44"/>
  <c r="N11" i="44" s="1"/>
  <c r="N10" i="44"/>
  <c r="L10" i="44"/>
  <c r="N9" i="44"/>
  <c r="L9" i="44"/>
  <c r="N8" i="44"/>
  <c r="L8" i="44"/>
  <c r="L7" i="44"/>
  <c r="N7" i="44" s="1"/>
  <c r="L6" i="44"/>
  <c r="N6" i="44" s="1"/>
  <c r="L5" i="44"/>
  <c r="N5" i="44" s="1"/>
  <c r="K3" i="44"/>
  <c r="J3" i="44"/>
  <c r="I3" i="44"/>
  <c r="H3" i="44"/>
  <c r="G3" i="44"/>
  <c r="F3" i="44"/>
  <c r="E3" i="44"/>
  <c r="D3" i="44"/>
  <c r="C3" i="44"/>
  <c r="B3" i="44"/>
  <c r="L73" i="43"/>
  <c r="N73" i="43" s="1"/>
  <c r="N72" i="43"/>
  <c r="L72" i="43"/>
  <c r="L71" i="43"/>
  <c r="N71" i="43" s="1"/>
  <c r="L70" i="43"/>
  <c r="N70" i="43" s="1"/>
  <c r="L69" i="43"/>
  <c r="N69" i="43" s="1"/>
  <c r="N68" i="43"/>
  <c r="L68" i="43"/>
  <c r="L67" i="43"/>
  <c r="N67" i="43" s="1"/>
  <c r="L66" i="43"/>
  <c r="N66" i="43" s="1"/>
  <c r="N65" i="43"/>
  <c r="L65" i="43"/>
  <c r="L63" i="43"/>
  <c r="N63" i="43" s="1"/>
  <c r="L62" i="43"/>
  <c r="N62" i="43" s="1"/>
  <c r="N61" i="43"/>
  <c r="L61" i="43"/>
  <c r="L60" i="43"/>
  <c r="N60" i="43" s="1"/>
  <c r="L59" i="43"/>
  <c r="N59" i="43" s="1"/>
  <c r="L58" i="43"/>
  <c r="N58" i="43" s="1"/>
  <c r="N57" i="43"/>
  <c r="L57" i="43"/>
  <c r="L56" i="43"/>
  <c r="N56" i="43" s="1"/>
  <c r="N55" i="43"/>
  <c r="L55" i="43"/>
  <c r="L53" i="43"/>
  <c r="N53" i="43" s="1"/>
  <c r="L52" i="43"/>
  <c r="N52" i="43" s="1"/>
  <c r="L51" i="43"/>
  <c r="N51" i="43" s="1"/>
  <c r="L50" i="43"/>
  <c r="N50" i="43" s="1"/>
  <c r="L49" i="43"/>
  <c r="N49" i="43" s="1"/>
  <c r="L48" i="43"/>
  <c r="N48" i="43" s="1"/>
  <c r="L47" i="43"/>
  <c r="N47" i="43" s="1"/>
  <c r="L46" i="43"/>
  <c r="N46" i="43" s="1"/>
  <c r="L45" i="43"/>
  <c r="N45" i="43" s="1"/>
  <c r="L43" i="43"/>
  <c r="N43" i="43" s="1"/>
  <c r="L42" i="43"/>
  <c r="N42" i="43" s="1"/>
  <c r="L41" i="43"/>
  <c r="N41" i="43" s="1"/>
  <c r="L40" i="43"/>
  <c r="N40" i="43" s="1"/>
  <c r="L39" i="43"/>
  <c r="N39" i="43" s="1"/>
  <c r="L38" i="43"/>
  <c r="N38" i="43" s="1"/>
  <c r="L37" i="43"/>
  <c r="N37" i="43" s="1"/>
  <c r="L36" i="43"/>
  <c r="N36" i="43" s="1"/>
  <c r="N35" i="43"/>
  <c r="L35" i="43"/>
  <c r="L33" i="43"/>
  <c r="N33" i="43" s="1"/>
  <c r="N32" i="43"/>
  <c r="L32" i="43"/>
  <c r="L31" i="43"/>
  <c r="N31" i="43" s="1"/>
  <c r="L30" i="43"/>
  <c r="N30" i="43" s="1"/>
  <c r="L29" i="43"/>
  <c r="N29" i="43" s="1"/>
  <c r="N28" i="43"/>
  <c r="L28" i="43"/>
  <c r="L27" i="43"/>
  <c r="N27" i="43" s="1"/>
  <c r="L26" i="43"/>
  <c r="N26" i="43" s="1"/>
  <c r="N25" i="43"/>
  <c r="L25" i="43"/>
  <c r="L23" i="43"/>
  <c r="N23" i="43" s="1"/>
  <c r="L22" i="43"/>
  <c r="N22" i="43" s="1"/>
  <c r="N21" i="43"/>
  <c r="L21" i="43"/>
  <c r="L20" i="43"/>
  <c r="N20" i="43" s="1"/>
  <c r="L19" i="43"/>
  <c r="N19" i="43" s="1"/>
  <c r="L18" i="43"/>
  <c r="N18" i="43" s="1"/>
  <c r="N17" i="43"/>
  <c r="L17" i="43"/>
  <c r="L16" i="43"/>
  <c r="N16" i="43" s="1"/>
  <c r="N15" i="43"/>
  <c r="L15" i="43"/>
  <c r="L13" i="43"/>
  <c r="N13" i="43" s="1"/>
  <c r="L12" i="43"/>
  <c r="N12" i="43" s="1"/>
  <c r="L11" i="43"/>
  <c r="N11" i="43" s="1"/>
  <c r="L10" i="43"/>
  <c r="N10" i="43" s="1"/>
  <c r="L9" i="43"/>
  <c r="N9" i="43" s="1"/>
  <c r="L8" i="43"/>
  <c r="N8" i="43" s="1"/>
  <c r="L7" i="43"/>
  <c r="N7" i="43" s="1"/>
  <c r="L6" i="43"/>
  <c r="N6" i="43" s="1"/>
  <c r="L5" i="43"/>
  <c r="N5" i="43" s="1"/>
  <c r="K3" i="43"/>
  <c r="J3" i="43"/>
  <c r="I3" i="43"/>
  <c r="H3" i="43"/>
  <c r="G3" i="43"/>
  <c r="F3" i="43"/>
  <c r="E3" i="43"/>
  <c r="D3" i="43"/>
  <c r="C3" i="43"/>
  <c r="B3" i="43"/>
  <c r="L73" i="42"/>
  <c r="N73" i="42" s="1"/>
  <c r="L72" i="42"/>
  <c r="N72" i="42" s="1"/>
  <c r="L71" i="42"/>
  <c r="N71" i="42" s="1"/>
  <c r="L70" i="42"/>
  <c r="N70" i="42" s="1"/>
  <c r="L69" i="42"/>
  <c r="N69" i="42" s="1"/>
  <c r="L68" i="42"/>
  <c r="N68" i="42" s="1"/>
  <c r="L67" i="42"/>
  <c r="N67" i="42" s="1"/>
  <c r="L66" i="42"/>
  <c r="N66" i="42" s="1"/>
  <c r="L65" i="42"/>
  <c r="N65" i="42" s="1"/>
  <c r="N63" i="42"/>
  <c r="L63" i="42"/>
  <c r="L62" i="42"/>
  <c r="N62" i="42" s="1"/>
  <c r="N61" i="42"/>
  <c r="L61" i="42"/>
  <c r="L60" i="42"/>
  <c r="N60" i="42" s="1"/>
  <c r="L59" i="42"/>
  <c r="N59" i="42" s="1"/>
  <c r="L58" i="42"/>
  <c r="N58" i="42" s="1"/>
  <c r="N57" i="42"/>
  <c r="L57" i="42"/>
  <c r="L56" i="42"/>
  <c r="N56" i="42" s="1"/>
  <c r="L55" i="42"/>
  <c r="N55" i="42" s="1"/>
  <c r="N53" i="42"/>
  <c r="L53" i="42"/>
  <c r="L52" i="42"/>
  <c r="N52" i="42" s="1"/>
  <c r="L51" i="42"/>
  <c r="N51" i="42" s="1"/>
  <c r="N50" i="42"/>
  <c r="L50" i="42"/>
  <c r="L49" i="42"/>
  <c r="N49" i="42" s="1"/>
  <c r="L48" i="42"/>
  <c r="N48" i="42" s="1"/>
  <c r="L47" i="42"/>
  <c r="N47" i="42" s="1"/>
  <c r="N46" i="42"/>
  <c r="L46" i="42"/>
  <c r="L45" i="42"/>
  <c r="N45" i="42" s="1"/>
  <c r="N43" i="42"/>
  <c r="L43" i="42"/>
  <c r="L42" i="42"/>
  <c r="N42" i="42" s="1"/>
  <c r="L41" i="42"/>
  <c r="N41" i="42" s="1"/>
  <c r="L40" i="42"/>
  <c r="N40" i="42" s="1"/>
  <c r="L39" i="42"/>
  <c r="N39" i="42" s="1"/>
  <c r="L38" i="42"/>
  <c r="N38" i="42" s="1"/>
  <c r="L37" i="42"/>
  <c r="N37" i="42" s="1"/>
  <c r="L36" i="42"/>
  <c r="N36" i="42" s="1"/>
  <c r="L35" i="42"/>
  <c r="N35" i="42" s="1"/>
  <c r="L33" i="42"/>
  <c r="N33" i="42" s="1"/>
  <c r="L32" i="42"/>
  <c r="N32" i="42" s="1"/>
  <c r="L31" i="42"/>
  <c r="N31" i="42" s="1"/>
  <c r="L30" i="42"/>
  <c r="N30" i="42" s="1"/>
  <c r="L29" i="42"/>
  <c r="N29" i="42" s="1"/>
  <c r="L28" i="42"/>
  <c r="N28" i="42" s="1"/>
  <c r="L27" i="42"/>
  <c r="N27" i="42" s="1"/>
  <c r="L26" i="42"/>
  <c r="N26" i="42" s="1"/>
  <c r="L25" i="42"/>
  <c r="N25" i="42" s="1"/>
  <c r="N23" i="42"/>
  <c r="L23" i="42"/>
  <c r="L22" i="42"/>
  <c r="N22" i="42" s="1"/>
  <c r="N21" i="42"/>
  <c r="L21" i="42"/>
  <c r="L20" i="42"/>
  <c r="N20" i="42" s="1"/>
  <c r="L19" i="42"/>
  <c r="N19" i="42" s="1"/>
  <c r="L18" i="42"/>
  <c r="N18" i="42" s="1"/>
  <c r="N17" i="42"/>
  <c r="L17" i="42"/>
  <c r="L16" i="42"/>
  <c r="N16" i="42" s="1"/>
  <c r="L15" i="42"/>
  <c r="N15" i="42" s="1"/>
  <c r="N13" i="42"/>
  <c r="L13" i="42"/>
  <c r="L12" i="42"/>
  <c r="N12" i="42" s="1"/>
  <c r="L11" i="42"/>
  <c r="N11" i="42" s="1"/>
  <c r="N10" i="42"/>
  <c r="L10" i="42"/>
  <c r="L9" i="42"/>
  <c r="N9" i="42" s="1"/>
  <c r="L8" i="42"/>
  <c r="N8" i="42" s="1"/>
  <c r="L7" i="42"/>
  <c r="N7" i="42" s="1"/>
  <c r="N6" i="42"/>
  <c r="L6" i="42"/>
  <c r="L5" i="42"/>
  <c r="N5" i="42" s="1"/>
  <c r="K3" i="42"/>
  <c r="J3" i="42"/>
  <c r="I3" i="42"/>
  <c r="H3" i="42"/>
  <c r="G3" i="42"/>
  <c r="F3" i="42"/>
  <c r="E3" i="42"/>
  <c r="D3" i="42"/>
  <c r="C3" i="42"/>
  <c r="B3" i="42"/>
  <c r="L73" i="41"/>
  <c r="N73" i="41" s="1"/>
  <c r="L72" i="41"/>
  <c r="N72" i="41" s="1"/>
  <c r="L71" i="41"/>
  <c r="N71" i="41" s="1"/>
  <c r="L70" i="41"/>
  <c r="N70" i="41" s="1"/>
  <c r="N69" i="41"/>
  <c r="L69" i="41"/>
  <c r="N68" i="41"/>
  <c r="L68" i="41"/>
  <c r="L67" i="41"/>
  <c r="N67" i="41" s="1"/>
  <c r="N66" i="41"/>
  <c r="L66" i="41"/>
  <c r="L65" i="41"/>
  <c r="N65" i="41" s="1"/>
  <c r="N63" i="41"/>
  <c r="L63" i="41"/>
  <c r="L62" i="41"/>
  <c r="N62" i="41" s="1"/>
  <c r="N61" i="41"/>
  <c r="L61" i="41"/>
  <c r="L60" i="41"/>
  <c r="N60" i="41" s="1"/>
  <c r="L59" i="41"/>
  <c r="N59" i="41" s="1"/>
  <c r="L58" i="41"/>
  <c r="N58" i="41" s="1"/>
  <c r="L57" i="41"/>
  <c r="N57" i="41" s="1"/>
  <c r="N56" i="41"/>
  <c r="L56" i="41"/>
  <c r="L55" i="41"/>
  <c r="N55" i="41" s="1"/>
  <c r="L53" i="41"/>
  <c r="N53" i="41" s="1"/>
  <c r="L52" i="41"/>
  <c r="N52" i="41" s="1"/>
  <c r="L51" i="41"/>
  <c r="N51" i="41" s="1"/>
  <c r="L50" i="41"/>
  <c r="N50" i="41" s="1"/>
  <c r="L49" i="41"/>
  <c r="N49" i="41" s="1"/>
  <c r="N48" i="41"/>
  <c r="L48" i="41"/>
  <c r="L47" i="41"/>
  <c r="N47" i="41" s="1"/>
  <c r="L46" i="41"/>
  <c r="N46" i="41" s="1"/>
  <c r="L45" i="41"/>
  <c r="N45" i="41" s="1"/>
  <c r="N43" i="41"/>
  <c r="L43" i="41"/>
  <c r="L42" i="41"/>
  <c r="N42" i="41" s="1"/>
  <c r="L41" i="41"/>
  <c r="N41" i="41" s="1"/>
  <c r="L40" i="41"/>
  <c r="N40" i="41" s="1"/>
  <c r="L39" i="41"/>
  <c r="N39" i="41" s="1"/>
  <c r="L38" i="41"/>
  <c r="N38" i="41" s="1"/>
  <c r="N37" i="41"/>
  <c r="L37" i="41"/>
  <c r="N36" i="41"/>
  <c r="L36" i="41"/>
  <c r="L35" i="41"/>
  <c r="N35" i="41" s="1"/>
  <c r="L33" i="41"/>
  <c r="N33" i="41" s="1"/>
  <c r="L32" i="41"/>
  <c r="N32" i="41" s="1"/>
  <c r="L31" i="41"/>
  <c r="N31" i="41" s="1"/>
  <c r="L30" i="41"/>
  <c r="N30" i="41" s="1"/>
  <c r="N29" i="41"/>
  <c r="L29" i="41"/>
  <c r="N28" i="41"/>
  <c r="L28" i="41"/>
  <c r="L27" i="41"/>
  <c r="N27" i="41" s="1"/>
  <c r="N26" i="41"/>
  <c r="L26" i="41"/>
  <c r="L25" i="41"/>
  <c r="N25" i="41" s="1"/>
  <c r="N23" i="41"/>
  <c r="L23" i="41"/>
  <c r="L22" i="41"/>
  <c r="N22" i="41" s="1"/>
  <c r="N21" i="41"/>
  <c r="L21" i="41"/>
  <c r="L20" i="41"/>
  <c r="N20" i="41" s="1"/>
  <c r="L19" i="41"/>
  <c r="N19" i="41" s="1"/>
  <c r="L18" i="41"/>
  <c r="N18" i="41" s="1"/>
  <c r="L17" i="41"/>
  <c r="N17" i="41" s="1"/>
  <c r="N16" i="41"/>
  <c r="L16" i="41"/>
  <c r="L15" i="41"/>
  <c r="N15" i="41" s="1"/>
  <c r="L13" i="41"/>
  <c r="N13" i="41" s="1"/>
  <c r="L12" i="41"/>
  <c r="N12" i="41" s="1"/>
  <c r="L11" i="41"/>
  <c r="N11" i="41" s="1"/>
  <c r="N10" i="41"/>
  <c r="L10" i="41"/>
  <c r="L9" i="41"/>
  <c r="N9" i="41" s="1"/>
  <c r="N8" i="41"/>
  <c r="L8" i="41"/>
  <c r="L7" i="41"/>
  <c r="N7" i="41" s="1"/>
  <c r="L6" i="41"/>
  <c r="N6" i="41" s="1"/>
  <c r="L5" i="41"/>
  <c r="N5" i="41" s="1"/>
  <c r="K3" i="41"/>
  <c r="J3" i="41"/>
  <c r="I3" i="41"/>
  <c r="H3" i="41"/>
  <c r="G3" i="41"/>
  <c r="F3" i="41"/>
  <c r="E3" i="41"/>
  <c r="D3" i="41"/>
  <c r="C3" i="41"/>
  <c r="B3" i="41"/>
  <c r="L73" i="40"/>
  <c r="N73" i="40" s="1"/>
  <c r="L72" i="40"/>
  <c r="N72" i="40" s="1"/>
  <c r="L71" i="40"/>
  <c r="N71" i="40" s="1"/>
  <c r="N70" i="40"/>
  <c r="L70" i="40"/>
  <c r="L69" i="40"/>
  <c r="N69" i="40" s="1"/>
  <c r="L68" i="40"/>
  <c r="N68" i="40" s="1"/>
  <c r="L67" i="40"/>
  <c r="N67" i="40" s="1"/>
  <c r="N66" i="40"/>
  <c r="L66" i="40"/>
  <c r="N65" i="40"/>
  <c r="L65" i="40"/>
  <c r="N63" i="40"/>
  <c r="L63" i="40"/>
  <c r="L62" i="40"/>
  <c r="N62" i="40" s="1"/>
  <c r="N61" i="40"/>
  <c r="L61" i="40"/>
  <c r="L60" i="40"/>
  <c r="N60" i="40" s="1"/>
  <c r="L59" i="40"/>
  <c r="N59" i="40" s="1"/>
  <c r="L58" i="40"/>
  <c r="N58" i="40" s="1"/>
  <c r="L57" i="40"/>
  <c r="N57" i="40" s="1"/>
  <c r="N56" i="40"/>
  <c r="L56" i="40"/>
  <c r="L55" i="40"/>
  <c r="N55" i="40" s="1"/>
  <c r="L53" i="40"/>
  <c r="N53" i="40" s="1"/>
  <c r="L52" i="40"/>
  <c r="N52" i="40" s="1"/>
  <c r="N51" i="40"/>
  <c r="L51" i="40"/>
  <c r="N50" i="40"/>
  <c r="L50" i="40"/>
  <c r="N49" i="40"/>
  <c r="L49" i="40"/>
  <c r="L48" i="40"/>
  <c r="N48" i="40" s="1"/>
  <c r="L47" i="40"/>
  <c r="N47" i="40" s="1"/>
  <c r="L46" i="40"/>
  <c r="N46" i="40" s="1"/>
  <c r="L45" i="40"/>
  <c r="N45" i="40" s="1"/>
  <c r="L43" i="40"/>
  <c r="N43" i="40" s="1"/>
  <c r="L42" i="40"/>
  <c r="N42" i="40" s="1"/>
  <c r="N41" i="40"/>
  <c r="L41" i="40"/>
  <c r="L40" i="40"/>
  <c r="N40" i="40" s="1"/>
  <c r="N39" i="40"/>
  <c r="L39" i="40"/>
  <c r="L38" i="40"/>
  <c r="N38" i="40" s="1"/>
  <c r="N37" i="40"/>
  <c r="L37" i="40"/>
  <c r="N36" i="40"/>
  <c r="L36" i="40"/>
  <c r="N35" i="40"/>
  <c r="L35" i="40"/>
  <c r="L33" i="40"/>
  <c r="N33" i="40" s="1"/>
  <c r="L32" i="40"/>
  <c r="N32" i="40" s="1"/>
  <c r="L31" i="40"/>
  <c r="N31" i="40" s="1"/>
  <c r="L30" i="40"/>
  <c r="N30" i="40" s="1"/>
  <c r="L29" i="40"/>
  <c r="N29" i="40" s="1"/>
  <c r="L28" i="40"/>
  <c r="N28" i="40" s="1"/>
  <c r="L27" i="40"/>
  <c r="N27" i="40" s="1"/>
  <c r="L26" i="40"/>
  <c r="N26" i="40" s="1"/>
  <c r="N25" i="40"/>
  <c r="L25" i="40"/>
  <c r="L23" i="40"/>
  <c r="N23" i="40" s="1"/>
  <c r="N22" i="40"/>
  <c r="L22" i="40"/>
  <c r="N21" i="40"/>
  <c r="L21" i="40"/>
  <c r="L20" i="40"/>
  <c r="N20" i="40" s="1"/>
  <c r="N19" i="40"/>
  <c r="L19" i="40"/>
  <c r="L18" i="40"/>
  <c r="N18" i="40" s="1"/>
  <c r="L17" i="40"/>
  <c r="N17" i="40" s="1"/>
  <c r="L16" i="40"/>
  <c r="N16" i="40" s="1"/>
  <c r="L15" i="40"/>
  <c r="N15" i="40" s="1"/>
  <c r="L13" i="40"/>
  <c r="N13" i="40" s="1"/>
  <c r="L12" i="40"/>
  <c r="N12" i="40" s="1"/>
  <c r="L11" i="40"/>
  <c r="N11" i="40" s="1"/>
  <c r="N10" i="40"/>
  <c r="L10" i="40"/>
  <c r="L9" i="40"/>
  <c r="N9" i="40" s="1"/>
  <c r="N8" i="40"/>
  <c r="L8" i="40"/>
  <c r="L7" i="40"/>
  <c r="N7" i="40" s="1"/>
  <c r="L6" i="40"/>
  <c r="N6" i="40" s="1"/>
  <c r="N5" i="40"/>
  <c r="L5" i="40"/>
  <c r="K3" i="40"/>
  <c r="J3" i="40"/>
  <c r="I3" i="40"/>
  <c r="H3" i="40"/>
  <c r="G3" i="40"/>
  <c r="F3" i="40"/>
  <c r="E3" i="40"/>
  <c r="D3" i="40"/>
  <c r="C3" i="40"/>
  <c r="B3" i="40"/>
  <c r="N73" i="39"/>
  <c r="L73" i="39"/>
  <c r="L72" i="39"/>
  <c r="N72" i="39" s="1"/>
  <c r="L71" i="39"/>
  <c r="N71" i="39" s="1"/>
  <c r="L70" i="39"/>
  <c r="N70" i="39" s="1"/>
  <c r="L69" i="39"/>
  <c r="N69" i="39" s="1"/>
  <c r="L68" i="39"/>
  <c r="N68" i="39" s="1"/>
  <c r="N67" i="39"/>
  <c r="L67" i="39"/>
  <c r="L66" i="39"/>
  <c r="N66" i="39" s="1"/>
  <c r="L65" i="39"/>
  <c r="N65" i="39" s="1"/>
  <c r="L63" i="39"/>
  <c r="N63" i="39" s="1"/>
  <c r="L62" i="39"/>
  <c r="N62" i="39" s="1"/>
  <c r="L61" i="39"/>
  <c r="N61" i="39" s="1"/>
  <c r="N60" i="39"/>
  <c r="L60" i="39"/>
  <c r="L59" i="39"/>
  <c r="N59" i="39" s="1"/>
  <c r="L58" i="39"/>
  <c r="N58" i="39" s="1"/>
  <c r="L57" i="39"/>
  <c r="N57" i="39" s="1"/>
  <c r="L56" i="39"/>
  <c r="N56" i="39" s="1"/>
  <c r="L55" i="39"/>
  <c r="N55" i="39" s="1"/>
  <c r="N53" i="39"/>
  <c r="L53" i="39"/>
  <c r="L52" i="39"/>
  <c r="N52" i="39" s="1"/>
  <c r="L51" i="39"/>
  <c r="N51" i="39" s="1"/>
  <c r="L50" i="39"/>
  <c r="N50" i="39" s="1"/>
  <c r="L49" i="39"/>
  <c r="N49" i="39" s="1"/>
  <c r="L48" i="39"/>
  <c r="N48" i="39" s="1"/>
  <c r="N47" i="39"/>
  <c r="L47" i="39"/>
  <c r="L46" i="39"/>
  <c r="N46" i="39" s="1"/>
  <c r="L45" i="39"/>
  <c r="N45" i="39" s="1"/>
  <c r="L43" i="39"/>
  <c r="N43" i="39" s="1"/>
  <c r="L42" i="39"/>
  <c r="N42" i="39" s="1"/>
  <c r="L41" i="39"/>
  <c r="N41" i="39" s="1"/>
  <c r="N40" i="39"/>
  <c r="L40" i="39"/>
  <c r="L39" i="39"/>
  <c r="N39" i="39" s="1"/>
  <c r="L38" i="39"/>
  <c r="N38" i="39" s="1"/>
  <c r="L37" i="39"/>
  <c r="N37" i="39" s="1"/>
  <c r="L36" i="39"/>
  <c r="N36" i="39" s="1"/>
  <c r="L35" i="39"/>
  <c r="N35" i="39" s="1"/>
  <c r="N33" i="39"/>
  <c r="L33" i="39"/>
  <c r="L32" i="39"/>
  <c r="N32" i="39" s="1"/>
  <c r="L31" i="39"/>
  <c r="N31" i="39" s="1"/>
  <c r="L30" i="39"/>
  <c r="N30" i="39" s="1"/>
  <c r="L29" i="39"/>
  <c r="N29" i="39" s="1"/>
  <c r="L28" i="39"/>
  <c r="N28" i="39" s="1"/>
  <c r="N27" i="39"/>
  <c r="L27" i="39"/>
  <c r="L26" i="39"/>
  <c r="N26" i="39" s="1"/>
  <c r="L25" i="39"/>
  <c r="N25" i="39" s="1"/>
  <c r="L23" i="39"/>
  <c r="N23" i="39" s="1"/>
  <c r="L22" i="39"/>
  <c r="N22" i="39" s="1"/>
  <c r="L21" i="39"/>
  <c r="N21" i="39" s="1"/>
  <c r="N20" i="39"/>
  <c r="L20" i="39"/>
  <c r="L19" i="39"/>
  <c r="N19" i="39" s="1"/>
  <c r="L18" i="39"/>
  <c r="N18" i="39" s="1"/>
  <c r="L17" i="39"/>
  <c r="N17" i="39" s="1"/>
  <c r="L16" i="39"/>
  <c r="N16" i="39" s="1"/>
  <c r="L15" i="39"/>
  <c r="N15" i="39" s="1"/>
  <c r="N13" i="39"/>
  <c r="L13" i="39"/>
  <c r="L12" i="39"/>
  <c r="N12" i="39" s="1"/>
  <c r="L11" i="39"/>
  <c r="N11" i="39" s="1"/>
  <c r="L10" i="39"/>
  <c r="N10" i="39" s="1"/>
  <c r="L9" i="39"/>
  <c r="N9" i="39" s="1"/>
  <c r="L8" i="39"/>
  <c r="N8" i="39" s="1"/>
  <c r="N7" i="39"/>
  <c r="L7" i="39"/>
  <c r="L6" i="39"/>
  <c r="N6" i="39" s="1"/>
  <c r="L5" i="39"/>
  <c r="N5" i="39" s="1"/>
  <c r="K3" i="39"/>
  <c r="J3" i="39"/>
  <c r="I3" i="39"/>
  <c r="H3" i="39"/>
  <c r="G3" i="39"/>
  <c r="F3" i="39"/>
  <c r="E3" i="39"/>
  <c r="D3" i="39"/>
  <c r="C3" i="39"/>
  <c r="B3" i="39"/>
  <c r="L73" i="38"/>
  <c r="N73" i="38" s="1"/>
  <c r="N72" i="38"/>
  <c r="L72" i="38"/>
  <c r="L71" i="38"/>
  <c r="N71" i="38" s="1"/>
  <c r="L70" i="38"/>
  <c r="N70" i="38" s="1"/>
  <c r="N69" i="38"/>
  <c r="L69" i="38"/>
  <c r="L68" i="38"/>
  <c r="N68" i="38" s="1"/>
  <c r="L67" i="38"/>
  <c r="N67" i="38" s="1"/>
  <c r="L66" i="38"/>
  <c r="N66" i="38" s="1"/>
  <c r="L65" i="38"/>
  <c r="N65" i="38" s="1"/>
  <c r="L63" i="38"/>
  <c r="N63" i="38" s="1"/>
  <c r="N62" i="38"/>
  <c r="L62" i="38"/>
  <c r="L61" i="38"/>
  <c r="N61" i="38" s="1"/>
  <c r="L60" i="38"/>
  <c r="N60" i="38" s="1"/>
  <c r="L59" i="38"/>
  <c r="N59" i="38" s="1"/>
  <c r="L58" i="38"/>
  <c r="N58" i="38" s="1"/>
  <c r="L57" i="38"/>
  <c r="N57" i="38" s="1"/>
  <c r="N56" i="38"/>
  <c r="L56" i="38"/>
  <c r="N55" i="38"/>
  <c r="L55" i="38"/>
  <c r="L53" i="38"/>
  <c r="N53" i="38" s="1"/>
  <c r="L52" i="38"/>
  <c r="N52" i="38" s="1"/>
  <c r="L51" i="38"/>
  <c r="N51" i="38" s="1"/>
  <c r="L50" i="38"/>
  <c r="N50" i="38" s="1"/>
  <c r="N49" i="38"/>
  <c r="L49" i="38"/>
  <c r="L48" i="38"/>
  <c r="N48" i="38" s="1"/>
  <c r="L47" i="38"/>
  <c r="N47" i="38" s="1"/>
  <c r="N46" i="38"/>
  <c r="L46" i="38"/>
  <c r="L45" i="38"/>
  <c r="N45" i="38" s="1"/>
  <c r="L43" i="38"/>
  <c r="N43" i="38" s="1"/>
  <c r="N42" i="38"/>
  <c r="L42" i="38"/>
  <c r="L41" i="38"/>
  <c r="N41" i="38" s="1"/>
  <c r="L40" i="38"/>
  <c r="N40" i="38" s="1"/>
  <c r="L39" i="38"/>
  <c r="N39" i="38" s="1"/>
  <c r="L38" i="38"/>
  <c r="N38" i="38" s="1"/>
  <c r="L37" i="38"/>
  <c r="N37" i="38" s="1"/>
  <c r="N36" i="38"/>
  <c r="L36" i="38"/>
  <c r="L35" i="38"/>
  <c r="N35" i="38" s="1"/>
  <c r="L33" i="38"/>
  <c r="N33" i="38" s="1"/>
  <c r="L32" i="38"/>
  <c r="N32" i="38" s="1"/>
  <c r="L31" i="38"/>
  <c r="N31" i="38" s="1"/>
  <c r="L30" i="38"/>
  <c r="N30" i="38" s="1"/>
  <c r="N29" i="38"/>
  <c r="L29" i="38"/>
  <c r="N28" i="38"/>
  <c r="L28" i="38"/>
  <c r="L27" i="38"/>
  <c r="N27" i="38" s="1"/>
  <c r="L26" i="38"/>
  <c r="N26" i="38" s="1"/>
  <c r="L25" i="38"/>
  <c r="N25" i="38" s="1"/>
  <c r="L23" i="38"/>
  <c r="N23" i="38" s="1"/>
  <c r="N22" i="38"/>
  <c r="L22" i="38"/>
  <c r="L21" i="38"/>
  <c r="N21" i="38" s="1"/>
  <c r="L20" i="38"/>
  <c r="N20" i="38" s="1"/>
  <c r="N19" i="38"/>
  <c r="L19" i="38"/>
  <c r="L18" i="38"/>
  <c r="N18" i="38" s="1"/>
  <c r="L17" i="38"/>
  <c r="N17" i="38" s="1"/>
  <c r="N16" i="38"/>
  <c r="L16" i="38"/>
  <c r="L15" i="38"/>
  <c r="N15" i="38" s="1"/>
  <c r="L13" i="38"/>
  <c r="N13" i="38" s="1"/>
  <c r="L12" i="38"/>
  <c r="N12" i="38" s="1"/>
  <c r="L11" i="38"/>
  <c r="N11" i="38" s="1"/>
  <c r="L10" i="38"/>
  <c r="N10" i="38" s="1"/>
  <c r="N9" i="38"/>
  <c r="L9" i="38"/>
  <c r="L8" i="38"/>
  <c r="N8" i="38" s="1"/>
  <c r="L7" i="38"/>
  <c r="N7" i="38" s="1"/>
  <c r="L6" i="38"/>
  <c r="N6" i="38" s="1"/>
  <c r="L5" i="38"/>
  <c r="N5" i="38" s="1"/>
  <c r="K3" i="38"/>
  <c r="J3" i="38"/>
  <c r="I3" i="38"/>
  <c r="H3" i="38"/>
  <c r="G3" i="38"/>
  <c r="F3" i="38"/>
  <c r="E3" i="38"/>
  <c r="D3" i="38"/>
  <c r="C3" i="38"/>
  <c r="B3" i="38"/>
  <c r="L73" i="37"/>
  <c r="N73" i="37" s="1"/>
  <c r="L72" i="37"/>
  <c r="N72" i="37" s="1"/>
  <c r="N71" i="37"/>
  <c r="L71" i="37"/>
  <c r="L70" i="37"/>
  <c r="N70" i="37" s="1"/>
  <c r="L69" i="37"/>
  <c r="N69" i="37" s="1"/>
  <c r="N68" i="37"/>
  <c r="L68" i="37"/>
  <c r="L67" i="37"/>
  <c r="N67" i="37" s="1"/>
  <c r="L66" i="37"/>
  <c r="N66" i="37" s="1"/>
  <c r="N65" i="37"/>
  <c r="L65" i="37"/>
  <c r="L63" i="37"/>
  <c r="N63" i="37" s="1"/>
  <c r="L62" i="37"/>
  <c r="N62" i="37" s="1"/>
  <c r="N61" i="37"/>
  <c r="L61" i="37"/>
  <c r="L60" i="37"/>
  <c r="N60" i="37" s="1"/>
  <c r="L59" i="37"/>
  <c r="N59" i="37" s="1"/>
  <c r="N58" i="37"/>
  <c r="L58" i="37"/>
  <c r="N57" i="37"/>
  <c r="L57" i="37"/>
  <c r="L56" i="37"/>
  <c r="N56" i="37" s="1"/>
  <c r="L55" i="37"/>
  <c r="N55" i="37" s="1"/>
  <c r="L53" i="37"/>
  <c r="N53" i="37" s="1"/>
  <c r="L52" i="37"/>
  <c r="N52" i="37" s="1"/>
  <c r="N51" i="37"/>
  <c r="L51" i="37"/>
  <c r="L50" i="37"/>
  <c r="N50" i="37" s="1"/>
  <c r="L49" i="37"/>
  <c r="N49" i="37" s="1"/>
  <c r="N48" i="37"/>
  <c r="L48" i="37"/>
  <c r="L47" i="37"/>
  <c r="N47" i="37" s="1"/>
  <c r="L46" i="37"/>
  <c r="N46" i="37" s="1"/>
  <c r="N45" i="37"/>
  <c r="L45" i="37"/>
  <c r="L43" i="37"/>
  <c r="N43" i="37" s="1"/>
  <c r="L42" i="37"/>
  <c r="N42" i="37" s="1"/>
  <c r="L41" i="37"/>
  <c r="N41" i="37" s="1"/>
  <c r="L40" i="37"/>
  <c r="N40" i="37" s="1"/>
  <c r="L39" i="37"/>
  <c r="N39" i="37" s="1"/>
  <c r="N38" i="37"/>
  <c r="L38" i="37"/>
  <c r="L37" i="37"/>
  <c r="N37" i="37" s="1"/>
  <c r="L36" i="37"/>
  <c r="N36" i="37" s="1"/>
  <c r="N35" i="37"/>
  <c r="L35" i="37"/>
  <c r="L33" i="37"/>
  <c r="N33" i="37" s="1"/>
  <c r="N32" i="37"/>
  <c r="L32" i="37"/>
  <c r="N31" i="37"/>
  <c r="L31" i="37"/>
  <c r="L30" i="37"/>
  <c r="N30" i="37" s="1"/>
  <c r="L29" i="37"/>
  <c r="N29" i="37" s="1"/>
  <c r="N28" i="37"/>
  <c r="L28" i="37"/>
  <c r="L27" i="37"/>
  <c r="N27" i="37" s="1"/>
  <c r="L26" i="37"/>
  <c r="N26" i="37" s="1"/>
  <c r="N25" i="37"/>
  <c r="L25" i="37"/>
  <c r="L23" i="37"/>
  <c r="N23" i="37" s="1"/>
  <c r="L22" i="37"/>
  <c r="N22" i="37" s="1"/>
  <c r="N21" i="37"/>
  <c r="L21" i="37"/>
  <c r="L20" i="37"/>
  <c r="N20" i="37" s="1"/>
  <c r="L19" i="37"/>
  <c r="N19" i="37" s="1"/>
  <c r="N18" i="37"/>
  <c r="L18" i="37"/>
  <c r="N17" i="37"/>
  <c r="L17" i="37"/>
  <c r="L16" i="37"/>
  <c r="N16" i="37" s="1"/>
  <c r="N15" i="37"/>
  <c r="L15" i="37"/>
  <c r="L13" i="37"/>
  <c r="N13" i="37" s="1"/>
  <c r="L12" i="37"/>
  <c r="N12" i="37" s="1"/>
  <c r="N11" i="37"/>
  <c r="L11" i="37"/>
  <c r="L10" i="37"/>
  <c r="N10" i="37" s="1"/>
  <c r="L9" i="37"/>
  <c r="N9" i="37" s="1"/>
  <c r="N8" i="37"/>
  <c r="L8" i="37"/>
  <c r="L7" i="37"/>
  <c r="N7" i="37" s="1"/>
  <c r="L6" i="37"/>
  <c r="N6" i="37" s="1"/>
  <c r="N5" i="37"/>
  <c r="L5" i="37"/>
  <c r="K3" i="37"/>
  <c r="J3" i="37"/>
  <c r="I3" i="37"/>
  <c r="H3" i="37"/>
  <c r="G3" i="37"/>
  <c r="F3" i="37"/>
  <c r="E3" i="37"/>
  <c r="D3" i="37"/>
  <c r="C3" i="37"/>
  <c r="B3" i="37"/>
  <c r="N73" i="36"/>
  <c r="L73" i="36"/>
  <c r="L72" i="36"/>
  <c r="N72" i="36" s="1"/>
  <c r="L71" i="36"/>
  <c r="N71" i="36" s="1"/>
  <c r="L70" i="36"/>
  <c r="N70" i="36" s="1"/>
  <c r="L69" i="36"/>
  <c r="N69" i="36" s="1"/>
  <c r="L68" i="36"/>
  <c r="N68" i="36" s="1"/>
  <c r="N67" i="36"/>
  <c r="L67" i="36"/>
  <c r="L66" i="36"/>
  <c r="N66" i="36" s="1"/>
  <c r="L65" i="36"/>
  <c r="N65" i="36" s="1"/>
  <c r="N63" i="36"/>
  <c r="L63" i="36"/>
  <c r="L62" i="36"/>
  <c r="N62" i="36" s="1"/>
  <c r="N61" i="36"/>
  <c r="L61" i="36"/>
  <c r="N60" i="36"/>
  <c r="L60" i="36"/>
  <c r="L59" i="36"/>
  <c r="N59" i="36" s="1"/>
  <c r="L58" i="36"/>
  <c r="N58" i="36" s="1"/>
  <c r="N57" i="36"/>
  <c r="L57" i="36"/>
  <c r="L56" i="36"/>
  <c r="N56" i="36" s="1"/>
  <c r="L55" i="36"/>
  <c r="N55" i="36" s="1"/>
  <c r="N53" i="36"/>
  <c r="L53" i="36"/>
  <c r="L52" i="36"/>
  <c r="N52" i="36" s="1"/>
  <c r="L51" i="36"/>
  <c r="N51" i="36" s="1"/>
  <c r="N50" i="36"/>
  <c r="L50" i="36"/>
  <c r="L49" i="36"/>
  <c r="N49" i="36" s="1"/>
  <c r="L48" i="36"/>
  <c r="N48" i="36" s="1"/>
  <c r="N47" i="36"/>
  <c r="L47" i="36"/>
  <c r="N46" i="36"/>
  <c r="L46" i="36"/>
  <c r="L45" i="36"/>
  <c r="N45" i="36" s="1"/>
  <c r="N43" i="36"/>
  <c r="L43" i="36"/>
  <c r="L42" i="36"/>
  <c r="N42" i="36" s="1"/>
  <c r="L41" i="36"/>
  <c r="N41" i="36" s="1"/>
  <c r="N40" i="36"/>
  <c r="L40" i="36"/>
  <c r="L39" i="36"/>
  <c r="N39" i="36" s="1"/>
  <c r="L38" i="36"/>
  <c r="N38" i="36" s="1"/>
  <c r="N37" i="36"/>
  <c r="L37" i="36"/>
  <c r="L36" i="36"/>
  <c r="N36" i="36" s="1"/>
  <c r="L35" i="36"/>
  <c r="N35" i="36" s="1"/>
  <c r="N33" i="36"/>
  <c r="L33" i="36"/>
  <c r="L32" i="36"/>
  <c r="N32" i="36" s="1"/>
  <c r="L31" i="36"/>
  <c r="N31" i="36" s="1"/>
  <c r="L30" i="36"/>
  <c r="N30" i="36" s="1"/>
  <c r="L29" i="36"/>
  <c r="N29" i="36" s="1"/>
  <c r="L28" i="36"/>
  <c r="N28" i="36" s="1"/>
  <c r="N27" i="36"/>
  <c r="L27" i="36"/>
  <c r="L26" i="36"/>
  <c r="N26" i="36" s="1"/>
  <c r="L25" i="36"/>
  <c r="N25" i="36" s="1"/>
  <c r="N23" i="36"/>
  <c r="L23" i="36"/>
  <c r="L22" i="36"/>
  <c r="N22" i="36" s="1"/>
  <c r="N21" i="36"/>
  <c r="L21" i="36"/>
  <c r="N20" i="36"/>
  <c r="L20" i="36"/>
  <c r="L19" i="36"/>
  <c r="N19" i="36" s="1"/>
  <c r="L18" i="36"/>
  <c r="N18" i="36" s="1"/>
  <c r="N17" i="36"/>
  <c r="L17" i="36"/>
  <c r="L16" i="36"/>
  <c r="N16" i="36" s="1"/>
  <c r="L15" i="36"/>
  <c r="N15" i="36" s="1"/>
  <c r="N13" i="36"/>
  <c r="L13" i="36"/>
  <c r="L12" i="36"/>
  <c r="N12" i="36" s="1"/>
  <c r="L11" i="36"/>
  <c r="N11" i="36" s="1"/>
  <c r="N10" i="36"/>
  <c r="L10" i="36"/>
  <c r="L9" i="36"/>
  <c r="N9" i="36" s="1"/>
  <c r="L8" i="36"/>
  <c r="N8" i="36" s="1"/>
  <c r="N7" i="36"/>
  <c r="L7" i="36"/>
  <c r="N6" i="36"/>
  <c r="L6" i="36"/>
  <c r="L5" i="36"/>
  <c r="N5" i="36" s="1"/>
  <c r="K3" i="36"/>
  <c r="J3" i="36"/>
  <c r="I3" i="36"/>
  <c r="H3" i="36"/>
  <c r="G3" i="36"/>
  <c r="F3" i="36"/>
  <c r="E3" i="36"/>
  <c r="D3" i="36"/>
  <c r="C3" i="36"/>
  <c r="B3" i="36"/>
  <c r="L73" i="35"/>
  <c r="N73" i="35" s="1"/>
  <c r="L72" i="35"/>
  <c r="N72" i="35" s="1"/>
  <c r="L71" i="35"/>
  <c r="N71" i="35" s="1"/>
  <c r="N70" i="35"/>
  <c r="L70" i="35"/>
  <c r="N69" i="35"/>
  <c r="L69" i="35"/>
  <c r="N68" i="35"/>
  <c r="L68" i="35"/>
  <c r="L67" i="35"/>
  <c r="N67" i="35" s="1"/>
  <c r="N66" i="35"/>
  <c r="L66" i="35"/>
  <c r="L65" i="35"/>
  <c r="N65" i="35" s="1"/>
  <c r="L63" i="35"/>
  <c r="N63" i="35" s="1"/>
  <c r="N62" i="35"/>
  <c r="L62" i="35"/>
  <c r="L61" i="35"/>
  <c r="N61" i="35" s="1"/>
  <c r="L60" i="35"/>
  <c r="N60" i="35" s="1"/>
  <c r="N59" i="35"/>
  <c r="L59" i="35"/>
  <c r="L58" i="35"/>
  <c r="N58" i="35" s="1"/>
  <c r="N57" i="35"/>
  <c r="L57" i="35"/>
  <c r="N56" i="35"/>
  <c r="L56" i="35"/>
  <c r="N55" i="35"/>
  <c r="L55" i="35"/>
  <c r="N53" i="35"/>
  <c r="L53" i="35"/>
  <c r="L52" i="35"/>
  <c r="N52" i="35" s="1"/>
  <c r="L51" i="35"/>
  <c r="N51" i="35" s="1"/>
  <c r="L50" i="35"/>
  <c r="N50" i="35" s="1"/>
  <c r="N49" i="35"/>
  <c r="L49" i="35"/>
  <c r="L48" i="35"/>
  <c r="N48" i="35" s="1"/>
  <c r="L47" i="35"/>
  <c r="N47" i="35" s="1"/>
  <c r="L46" i="35"/>
  <c r="N46" i="35" s="1"/>
  <c r="L45" i="35"/>
  <c r="N45" i="35" s="1"/>
  <c r="N43" i="35"/>
  <c r="L43" i="35"/>
  <c r="N42" i="35"/>
  <c r="L42" i="35"/>
  <c r="N41" i="35"/>
  <c r="L41" i="35"/>
  <c r="N40" i="35"/>
  <c r="L40" i="35"/>
  <c r="N39" i="35"/>
  <c r="L39" i="35"/>
  <c r="L38" i="35"/>
  <c r="N38" i="35" s="1"/>
  <c r="N37" i="35"/>
  <c r="L37" i="35"/>
  <c r="N36" i="35"/>
  <c r="L36" i="35"/>
  <c r="L35" i="35"/>
  <c r="N35" i="35" s="1"/>
  <c r="L33" i="35"/>
  <c r="N33" i="35" s="1"/>
  <c r="L32" i="35"/>
  <c r="N32" i="35" s="1"/>
  <c r="L31" i="35"/>
  <c r="N31" i="35" s="1"/>
  <c r="L30" i="35"/>
  <c r="N30" i="35" s="1"/>
  <c r="N29" i="35"/>
  <c r="L29" i="35"/>
  <c r="N28" i="35"/>
  <c r="L28" i="35"/>
  <c r="N27" i="35"/>
  <c r="L27" i="35"/>
  <c r="N26" i="35"/>
  <c r="L26" i="35"/>
  <c r="L25" i="35"/>
  <c r="N25" i="35" s="1"/>
  <c r="L23" i="35"/>
  <c r="N23" i="35" s="1"/>
  <c r="N22" i="35"/>
  <c r="L22" i="35"/>
  <c r="L21" i="35"/>
  <c r="N21" i="35" s="1"/>
  <c r="L20" i="35"/>
  <c r="N20" i="35" s="1"/>
  <c r="L19" i="35"/>
  <c r="N19" i="35" s="1"/>
  <c r="L18" i="35"/>
  <c r="N18" i="35" s="1"/>
  <c r="N17" i="35"/>
  <c r="L17" i="35"/>
  <c r="N16" i="35"/>
  <c r="L16" i="35"/>
  <c r="N15" i="35"/>
  <c r="L15" i="35"/>
  <c r="N13" i="35"/>
  <c r="L13" i="35"/>
  <c r="N12" i="35"/>
  <c r="L12" i="35"/>
  <c r="L11" i="35"/>
  <c r="N11" i="35" s="1"/>
  <c r="L10" i="35"/>
  <c r="N10" i="35" s="1"/>
  <c r="N9" i="35"/>
  <c r="L9" i="35"/>
  <c r="N8" i="35"/>
  <c r="L8" i="35"/>
  <c r="L7" i="35"/>
  <c r="N7" i="35" s="1"/>
  <c r="L6" i="35"/>
  <c r="N6" i="35" s="1"/>
  <c r="L5" i="35"/>
  <c r="N5" i="35" s="1"/>
  <c r="K3" i="35"/>
  <c r="J3" i="35"/>
  <c r="I3" i="35"/>
  <c r="H3" i="35"/>
  <c r="G3" i="35"/>
  <c r="F3" i="35"/>
  <c r="E3" i="35"/>
  <c r="D3" i="35"/>
  <c r="C3" i="35"/>
  <c r="B3" i="35"/>
  <c r="L73" i="34"/>
  <c r="N73" i="34" s="1"/>
  <c r="L72" i="34"/>
  <c r="N72" i="34" s="1"/>
  <c r="N71" i="34"/>
  <c r="L71" i="34"/>
  <c r="L70" i="34"/>
  <c r="N70" i="34" s="1"/>
  <c r="L69" i="34"/>
  <c r="N69" i="34" s="1"/>
  <c r="L68" i="34"/>
  <c r="N68" i="34" s="1"/>
  <c r="L67" i="34"/>
  <c r="N67" i="34" s="1"/>
  <c r="N66" i="34"/>
  <c r="L66" i="34"/>
  <c r="N65" i="34"/>
  <c r="L65" i="34"/>
  <c r="N63" i="34"/>
  <c r="L63" i="34"/>
  <c r="N62" i="34"/>
  <c r="L62" i="34"/>
  <c r="N61" i="34"/>
  <c r="L61" i="34"/>
  <c r="L60" i="34"/>
  <c r="N60" i="34" s="1"/>
  <c r="L59" i="34"/>
  <c r="N59" i="34" s="1"/>
  <c r="N58" i="34"/>
  <c r="L58" i="34"/>
  <c r="L57" i="34"/>
  <c r="N57" i="34" s="1"/>
  <c r="L56" i="34"/>
  <c r="N56" i="34" s="1"/>
  <c r="L55" i="34"/>
  <c r="N55" i="34" s="1"/>
  <c r="L53" i="34"/>
  <c r="N53" i="34" s="1"/>
  <c r="N52" i="34"/>
  <c r="L52" i="34"/>
  <c r="N51" i="34"/>
  <c r="L51" i="34"/>
  <c r="N50" i="34"/>
  <c r="L50" i="34"/>
  <c r="N49" i="34"/>
  <c r="L49" i="34"/>
  <c r="N48" i="34"/>
  <c r="L48" i="34"/>
  <c r="L47" i="34"/>
  <c r="N47" i="34" s="1"/>
  <c r="L46" i="34"/>
  <c r="N46" i="34" s="1"/>
  <c r="N45" i="34"/>
  <c r="L45" i="34"/>
  <c r="L43" i="34"/>
  <c r="N43" i="34" s="1"/>
  <c r="L42" i="34"/>
  <c r="N42" i="34" s="1"/>
  <c r="L41" i="34"/>
  <c r="N41" i="34" s="1"/>
  <c r="L40" i="34"/>
  <c r="N40" i="34" s="1"/>
  <c r="N39" i="34"/>
  <c r="L39" i="34"/>
  <c r="N38" i="34"/>
  <c r="L38" i="34"/>
  <c r="N37" i="34"/>
  <c r="L37" i="34"/>
  <c r="N36" i="34"/>
  <c r="L36" i="34"/>
  <c r="N35" i="34"/>
  <c r="L35" i="34"/>
  <c r="N33" i="34"/>
  <c r="L33" i="34"/>
  <c r="N32" i="34"/>
  <c r="L32" i="34"/>
  <c r="N31" i="34"/>
  <c r="L31" i="34"/>
  <c r="N30" i="34"/>
  <c r="L30" i="34"/>
  <c r="N29" i="34"/>
  <c r="L29" i="34"/>
  <c r="N28" i="34"/>
  <c r="L28" i="34"/>
  <c r="N27" i="34"/>
  <c r="L27" i="34"/>
  <c r="N26" i="34"/>
  <c r="L26" i="34"/>
  <c r="N25" i="34"/>
  <c r="L25" i="34"/>
  <c r="N23" i="34"/>
  <c r="L23" i="34"/>
  <c r="N22" i="34"/>
  <c r="L22" i="34"/>
  <c r="N21" i="34"/>
  <c r="L21" i="34"/>
  <c r="N20" i="34"/>
  <c r="L20" i="34"/>
  <c r="N19" i="34"/>
  <c r="L19" i="34"/>
  <c r="N18" i="34"/>
  <c r="L18" i="34"/>
  <c r="N17" i="34"/>
  <c r="L17" i="34"/>
  <c r="N16" i="34"/>
  <c r="L16" i="34"/>
  <c r="N15" i="34"/>
  <c r="L15" i="34"/>
  <c r="N13" i="34"/>
  <c r="L13" i="34"/>
  <c r="N12" i="34"/>
  <c r="L12" i="34"/>
  <c r="N11" i="34"/>
  <c r="L11" i="34"/>
  <c r="N10" i="34"/>
  <c r="L10" i="34"/>
  <c r="N9" i="34"/>
  <c r="L9" i="34"/>
  <c r="N8" i="34"/>
  <c r="L8" i="34"/>
  <c r="N7" i="34"/>
  <c r="L7" i="34"/>
  <c r="N6" i="34"/>
  <c r="L6" i="34"/>
  <c r="N5" i="34"/>
  <c r="L5" i="34"/>
  <c r="K3" i="34"/>
  <c r="J3" i="34"/>
  <c r="I3" i="34"/>
  <c r="H3" i="34"/>
  <c r="G3" i="34"/>
  <c r="F3" i="34"/>
  <c r="E3" i="34"/>
  <c r="D3" i="34"/>
  <c r="C3" i="34"/>
  <c r="B3" i="34"/>
  <c r="N73" i="33"/>
  <c r="L73" i="33"/>
  <c r="N72" i="33"/>
  <c r="L72" i="33"/>
  <c r="N71" i="33"/>
  <c r="L71" i="33"/>
  <c r="N70" i="33"/>
  <c r="L70" i="33"/>
  <c r="N69" i="33"/>
  <c r="L69" i="33"/>
  <c r="N68" i="33"/>
  <c r="L68" i="33"/>
  <c r="N67" i="33"/>
  <c r="L67" i="33"/>
  <c r="N66" i="33"/>
  <c r="L66" i="33"/>
  <c r="N65" i="33"/>
  <c r="L65" i="33"/>
  <c r="N63" i="33"/>
  <c r="L63" i="33"/>
  <c r="N62" i="33"/>
  <c r="L62" i="33"/>
  <c r="N61" i="33"/>
  <c r="L61" i="33"/>
  <c r="N60" i="33"/>
  <c r="L60" i="33"/>
  <c r="N59" i="33"/>
  <c r="L59" i="33"/>
  <c r="N58" i="33"/>
  <c r="L58" i="33"/>
  <c r="N57" i="33"/>
  <c r="L57" i="33"/>
  <c r="N56" i="33"/>
  <c r="L56" i="33"/>
  <c r="N55" i="33"/>
  <c r="L55" i="33"/>
  <c r="N53" i="33"/>
  <c r="L53" i="33"/>
  <c r="N52" i="33"/>
  <c r="L52" i="33"/>
  <c r="N51" i="33"/>
  <c r="L51" i="33"/>
  <c r="N50" i="33"/>
  <c r="L50" i="33"/>
  <c r="N49" i="33"/>
  <c r="L49" i="33"/>
  <c r="N48" i="33"/>
  <c r="L48" i="33"/>
  <c r="N47" i="33"/>
  <c r="L47" i="33"/>
  <c r="N46" i="33"/>
  <c r="L46" i="33"/>
  <c r="N45" i="33"/>
  <c r="L45" i="33"/>
  <c r="N43" i="33"/>
  <c r="L43" i="33"/>
  <c r="N42" i="33"/>
  <c r="L42" i="33"/>
  <c r="N41" i="33"/>
  <c r="L41" i="33"/>
  <c r="N40" i="33"/>
  <c r="L40" i="33"/>
  <c r="N39" i="33"/>
  <c r="L39" i="33"/>
  <c r="N38" i="33"/>
  <c r="L38" i="33"/>
  <c r="N37" i="33"/>
  <c r="L37" i="33"/>
  <c r="N36" i="33"/>
  <c r="L36" i="33"/>
  <c r="N35" i="33"/>
  <c r="L35" i="33"/>
  <c r="N33" i="33"/>
  <c r="L33" i="33"/>
  <c r="N32" i="33"/>
  <c r="L32" i="33"/>
  <c r="N31" i="33"/>
  <c r="L31" i="33"/>
  <c r="N30" i="33"/>
  <c r="L30" i="33"/>
  <c r="N29" i="33"/>
  <c r="L29" i="33"/>
  <c r="N28" i="33"/>
  <c r="L28" i="33"/>
  <c r="N27" i="33"/>
  <c r="L27" i="33"/>
  <c r="N26" i="33"/>
  <c r="L26" i="33"/>
  <c r="N25" i="33"/>
  <c r="L25" i="33"/>
  <c r="N23" i="33"/>
  <c r="L23" i="33"/>
  <c r="N22" i="33"/>
  <c r="L22" i="33"/>
  <c r="N21" i="33"/>
  <c r="L21" i="33"/>
  <c r="N20" i="33"/>
  <c r="L20" i="33"/>
  <c r="N19" i="33"/>
  <c r="L19" i="33"/>
  <c r="N18" i="33"/>
  <c r="L18" i="33"/>
  <c r="N17" i="33"/>
  <c r="L17" i="33"/>
  <c r="N16" i="33"/>
  <c r="L16" i="33"/>
  <c r="N15" i="33"/>
  <c r="L15" i="33"/>
  <c r="N13" i="33"/>
  <c r="L13" i="33"/>
  <c r="N12" i="33"/>
  <c r="L12" i="33"/>
  <c r="N11" i="33"/>
  <c r="L11" i="33"/>
  <c r="N10" i="33"/>
  <c r="L10" i="33"/>
  <c r="N9" i="33"/>
  <c r="L9" i="33"/>
  <c r="N8" i="33"/>
  <c r="L8" i="33"/>
  <c r="N7" i="33"/>
  <c r="L7" i="33"/>
  <c r="N6" i="33"/>
  <c r="L6" i="33"/>
  <c r="N5" i="33"/>
  <c r="L5" i="33"/>
  <c r="K3" i="33"/>
  <c r="J3" i="33"/>
  <c r="I3" i="33"/>
  <c r="H3" i="33"/>
  <c r="G3" i="33"/>
  <c r="F3" i="33"/>
  <c r="E3" i="33"/>
  <c r="D3" i="33"/>
  <c r="C3" i="33"/>
  <c r="B3" i="33"/>
  <c r="N73" i="32"/>
  <c r="L73" i="32"/>
  <c r="N72" i="32"/>
  <c r="L72" i="32"/>
  <c r="N71" i="32"/>
  <c r="L71" i="32"/>
  <c r="N70" i="32"/>
  <c r="L70" i="32"/>
  <c r="N69" i="32"/>
  <c r="L69" i="32"/>
  <c r="N68" i="32"/>
  <c r="L68" i="32"/>
  <c r="N67" i="32"/>
  <c r="L67" i="32"/>
  <c r="N66" i="32"/>
  <c r="L66" i="32"/>
  <c r="N65" i="32"/>
  <c r="L65" i="32"/>
  <c r="N63" i="32"/>
  <c r="L63" i="32"/>
  <c r="N62" i="32"/>
  <c r="L62" i="32"/>
  <c r="N61" i="32"/>
  <c r="L61" i="32"/>
  <c r="N60" i="32"/>
  <c r="L60" i="32"/>
  <c r="N59" i="32"/>
  <c r="L59" i="32"/>
  <c r="N58" i="32"/>
  <c r="L58" i="32"/>
  <c r="N57" i="32"/>
  <c r="L57" i="32"/>
  <c r="N56" i="32"/>
  <c r="L56" i="32"/>
  <c r="N55" i="32"/>
  <c r="L55" i="32"/>
  <c r="N53" i="32"/>
  <c r="L53" i="32"/>
  <c r="N52" i="32"/>
  <c r="L52" i="32"/>
  <c r="N51" i="32"/>
  <c r="L51" i="32"/>
  <c r="N50" i="32"/>
  <c r="L50" i="32"/>
  <c r="N49" i="32"/>
  <c r="L49" i="32"/>
  <c r="N48" i="32"/>
  <c r="L48" i="32"/>
  <c r="N47" i="32"/>
  <c r="L47" i="32"/>
  <c r="N46" i="32"/>
  <c r="L46" i="32"/>
  <c r="N45" i="32"/>
  <c r="L45" i="32"/>
  <c r="N43" i="32"/>
  <c r="L43" i="32"/>
  <c r="N42" i="32"/>
  <c r="L42" i="32"/>
  <c r="N41" i="32"/>
  <c r="L41" i="32"/>
  <c r="N40" i="32"/>
  <c r="L40" i="32"/>
  <c r="N39" i="32"/>
  <c r="L39" i="32"/>
  <c r="N38" i="32"/>
  <c r="L38" i="32"/>
  <c r="N37" i="32"/>
  <c r="L37" i="32"/>
  <c r="N36" i="32"/>
  <c r="L36" i="32"/>
  <c r="N35" i="32"/>
  <c r="L35" i="32"/>
  <c r="N33" i="32"/>
  <c r="L33" i="32"/>
  <c r="N32" i="32"/>
  <c r="L32" i="32"/>
  <c r="N31" i="32"/>
  <c r="L31" i="32"/>
  <c r="N30" i="32"/>
  <c r="L30" i="32"/>
  <c r="N29" i="32"/>
  <c r="L29" i="32"/>
  <c r="N28" i="32"/>
  <c r="L28" i="32"/>
  <c r="N27" i="32"/>
  <c r="L27" i="32"/>
  <c r="N26" i="32"/>
  <c r="L26" i="32"/>
  <c r="N25" i="32"/>
  <c r="L25" i="32"/>
  <c r="N23" i="32"/>
  <c r="L23" i="32"/>
  <c r="N22" i="32"/>
  <c r="L22" i="32"/>
  <c r="N21" i="32"/>
  <c r="L21" i="32"/>
  <c r="N20" i="32"/>
  <c r="L20" i="32"/>
  <c r="N19" i="32"/>
  <c r="L19" i="32"/>
  <c r="N18" i="32"/>
  <c r="L18" i="32"/>
  <c r="N17" i="32"/>
  <c r="L17" i="32"/>
  <c r="N16" i="32"/>
  <c r="L16" i="32"/>
  <c r="N15" i="32"/>
  <c r="L15" i="32"/>
  <c r="N13" i="32"/>
  <c r="L13" i="32"/>
  <c r="N12" i="32"/>
  <c r="L12" i="32"/>
  <c r="N11" i="32"/>
  <c r="L11" i="32"/>
  <c r="N10" i="32"/>
  <c r="L10" i="32"/>
  <c r="N9" i="32"/>
  <c r="L9" i="32"/>
  <c r="N8" i="32"/>
  <c r="L8" i="32"/>
  <c r="N7" i="32"/>
  <c r="L7" i="32"/>
  <c r="N6" i="32"/>
  <c r="L6" i="32"/>
  <c r="N5" i="32"/>
  <c r="L5" i="32"/>
  <c r="K3" i="32"/>
  <c r="J3" i="32"/>
  <c r="I3" i="32"/>
  <c r="H3" i="32"/>
  <c r="G3" i="32"/>
  <c r="F3" i="32"/>
  <c r="E3" i="32"/>
  <c r="D3" i="32"/>
  <c r="C3" i="32"/>
  <c r="B3" i="32"/>
  <c r="N73" i="31"/>
  <c r="L73" i="31"/>
  <c r="N72" i="31"/>
  <c r="L72" i="31"/>
  <c r="N71" i="31"/>
  <c r="L71" i="31"/>
  <c r="N70" i="31"/>
  <c r="L70" i="31"/>
  <c r="N69" i="31"/>
  <c r="L69" i="31"/>
  <c r="N68" i="31"/>
  <c r="L68" i="31"/>
  <c r="N67" i="31"/>
  <c r="L67" i="31"/>
  <c r="N66" i="31"/>
  <c r="L66" i="31"/>
  <c r="N65" i="31"/>
  <c r="L65" i="31"/>
  <c r="N63" i="31"/>
  <c r="L63" i="31"/>
  <c r="N62" i="31"/>
  <c r="L62" i="31"/>
  <c r="N61" i="31"/>
  <c r="L61" i="31"/>
  <c r="N60" i="31"/>
  <c r="L60" i="31"/>
  <c r="N59" i="31"/>
  <c r="L59" i="31"/>
  <c r="N58" i="31"/>
  <c r="L58" i="31"/>
  <c r="N57" i="31"/>
  <c r="L57" i="31"/>
  <c r="N56" i="31"/>
  <c r="L56" i="31"/>
  <c r="N55" i="31"/>
  <c r="L55" i="31"/>
  <c r="N53" i="31"/>
  <c r="L53" i="31"/>
  <c r="N52" i="31"/>
  <c r="L52" i="31"/>
  <c r="N51" i="31"/>
  <c r="L51" i="31"/>
  <c r="N50" i="31"/>
  <c r="L50" i="31"/>
  <c r="N49" i="31"/>
  <c r="L49" i="31"/>
  <c r="N48" i="31"/>
  <c r="L48" i="31"/>
  <c r="N47" i="31"/>
  <c r="L47" i="31"/>
  <c r="N46" i="31"/>
  <c r="L46" i="31"/>
  <c r="N45" i="31"/>
  <c r="L45" i="31"/>
  <c r="N43" i="31"/>
  <c r="L43" i="31"/>
  <c r="N42" i="31"/>
  <c r="L42" i="31"/>
  <c r="N41" i="31"/>
  <c r="L41" i="31"/>
  <c r="N40" i="31"/>
  <c r="L40" i="31"/>
  <c r="N39" i="31"/>
  <c r="L39" i="31"/>
  <c r="N38" i="31"/>
  <c r="L38" i="31"/>
  <c r="N37" i="31"/>
  <c r="L37" i="31"/>
  <c r="N36" i="31"/>
  <c r="L36" i="31"/>
  <c r="N35" i="31"/>
  <c r="L35" i="31"/>
  <c r="N33" i="31"/>
  <c r="L33" i="31"/>
  <c r="N32" i="31"/>
  <c r="L32" i="31"/>
  <c r="N31" i="31"/>
  <c r="L31" i="31"/>
  <c r="N30" i="31"/>
  <c r="L30" i="31"/>
  <c r="N29" i="31"/>
  <c r="L29" i="31"/>
  <c r="N28" i="31"/>
  <c r="L28" i="31"/>
  <c r="N27" i="31"/>
  <c r="L27" i="31"/>
  <c r="N26" i="31"/>
  <c r="L26" i="31"/>
  <c r="N25" i="31"/>
  <c r="L25" i="31"/>
  <c r="N23" i="31"/>
  <c r="L23" i="31"/>
  <c r="N22" i="31"/>
  <c r="L22" i="31"/>
  <c r="N21" i="31"/>
  <c r="L21" i="31"/>
  <c r="N20" i="31"/>
  <c r="L20" i="31"/>
  <c r="N19" i="31"/>
  <c r="L19" i="31"/>
  <c r="N18" i="31"/>
  <c r="L18" i="31"/>
  <c r="N17" i="31"/>
  <c r="L17" i="31"/>
  <c r="N16" i="31"/>
  <c r="L16" i="31"/>
  <c r="N15" i="31"/>
  <c r="L15" i="31"/>
  <c r="N13" i="31"/>
  <c r="L13" i="31"/>
  <c r="N12" i="31"/>
  <c r="L12" i="31"/>
  <c r="N11" i="31"/>
  <c r="L11" i="31"/>
  <c r="N10" i="31"/>
  <c r="L10" i="31"/>
  <c r="N9" i="31"/>
  <c r="L9" i="31"/>
  <c r="N8" i="31"/>
  <c r="L8" i="31"/>
  <c r="N7" i="31"/>
  <c r="L7" i="31"/>
  <c r="N6" i="31"/>
  <c r="L6" i="31"/>
  <c r="N5" i="31"/>
  <c r="L5" i="31"/>
  <c r="N73" i="30"/>
  <c r="L73" i="30"/>
  <c r="N72" i="30"/>
  <c r="L72" i="30"/>
  <c r="N71" i="30"/>
  <c r="L71" i="30"/>
  <c r="N70" i="30"/>
  <c r="L70" i="30"/>
  <c r="N69" i="30"/>
  <c r="L69" i="30"/>
  <c r="N68" i="30"/>
  <c r="L68" i="30"/>
  <c r="N67" i="30"/>
  <c r="L67" i="30"/>
  <c r="N66" i="30"/>
  <c r="L66" i="30"/>
  <c r="N65" i="30"/>
  <c r="L65" i="30"/>
  <c r="N63" i="30"/>
  <c r="L63" i="30"/>
  <c r="N62" i="30"/>
  <c r="L62" i="30"/>
  <c r="N61" i="30"/>
  <c r="L61" i="30"/>
  <c r="N60" i="30"/>
  <c r="L60" i="30"/>
  <c r="N59" i="30"/>
  <c r="L59" i="30"/>
  <c r="N58" i="30"/>
  <c r="L58" i="30"/>
  <c r="N57" i="30"/>
  <c r="L57" i="30"/>
  <c r="N56" i="30"/>
  <c r="L56" i="30"/>
  <c r="N55" i="30"/>
  <c r="L55" i="30"/>
  <c r="N53" i="30"/>
  <c r="L53" i="30"/>
  <c r="N52" i="30"/>
  <c r="L52" i="30"/>
  <c r="N51" i="30"/>
  <c r="L51" i="30"/>
  <c r="N50" i="30"/>
  <c r="L50" i="30"/>
  <c r="N49" i="30"/>
  <c r="L49" i="30"/>
  <c r="N48" i="30"/>
  <c r="L48" i="30"/>
  <c r="N47" i="30"/>
  <c r="L47" i="30"/>
  <c r="N46" i="30"/>
  <c r="L46" i="30"/>
  <c r="N45" i="30"/>
  <c r="L45" i="30"/>
  <c r="N43" i="30"/>
  <c r="L43" i="30"/>
  <c r="N42" i="30"/>
  <c r="L42" i="30"/>
  <c r="N41" i="30"/>
  <c r="L41" i="30"/>
  <c r="N40" i="30"/>
  <c r="L40" i="30"/>
  <c r="N39" i="30"/>
  <c r="L39" i="30"/>
  <c r="N38" i="30"/>
  <c r="L38" i="30"/>
  <c r="N37" i="30"/>
  <c r="L37" i="30"/>
  <c r="N36" i="30"/>
  <c r="L36" i="30"/>
  <c r="N35" i="30"/>
  <c r="L35" i="30"/>
  <c r="N33" i="30"/>
  <c r="L33" i="30"/>
  <c r="N32" i="30"/>
  <c r="L32" i="30"/>
  <c r="N31" i="30"/>
  <c r="L31" i="30"/>
  <c r="N30" i="30"/>
  <c r="L30" i="30"/>
  <c r="N29" i="30"/>
  <c r="L29" i="30"/>
  <c r="N28" i="30"/>
  <c r="L28" i="30"/>
  <c r="N27" i="30"/>
  <c r="L27" i="30"/>
  <c r="N26" i="30"/>
  <c r="L26" i="30"/>
  <c r="N25" i="30"/>
  <c r="L25" i="30"/>
  <c r="N23" i="30"/>
  <c r="L23" i="30"/>
  <c r="N22" i="30"/>
  <c r="L22" i="30"/>
  <c r="N21" i="30"/>
  <c r="L21" i="30"/>
  <c r="N20" i="30"/>
  <c r="L20" i="30"/>
  <c r="N19" i="30"/>
  <c r="L19" i="30"/>
  <c r="N18" i="30"/>
  <c r="L18" i="30"/>
  <c r="N17" i="30"/>
  <c r="L17" i="30"/>
  <c r="N16" i="30"/>
  <c r="L16" i="30"/>
  <c r="N15" i="30"/>
  <c r="L15" i="30"/>
  <c r="N13" i="30"/>
  <c r="L13" i="30"/>
  <c r="N12" i="30"/>
  <c r="L12" i="30"/>
  <c r="N11" i="30"/>
  <c r="L11" i="30"/>
  <c r="N10" i="30"/>
  <c r="L10" i="30"/>
  <c r="N9" i="30"/>
  <c r="L9" i="30"/>
  <c r="N8" i="30"/>
  <c r="L8" i="30"/>
  <c r="N7" i="30"/>
  <c r="L7" i="30"/>
  <c r="N6" i="30"/>
  <c r="L6" i="30"/>
  <c r="N5" i="30"/>
  <c r="L5" i="30"/>
  <c r="N73" i="29"/>
  <c r="L73" i="29"/>
  <c r="N72" i="29"/>
  <c r="L72" i="29"/>
  <c r="N71" i="29"/>
  <c r="L71" i="29"/>
  <c r="N70" i="29"/>
  <c r="L70" i="29"/>
  <c r="N69" i="29"/>
  <c r="L69" i="29"/>
  <c r="N68" i="29"/>
  <c r="L68" i="29"/>
  <c r="N67" i="29"/>
  <c r="L67" i="29"/>
  <c r="N66" i="29"/>
  <c r="L66" i="29"/>
  <c r="N65" i="29"/>
  <c r="L65" i="29"/>
  <c r="N63" i="29"/>
  <c r="L63" i="29"/>
  <c r="N62" i="29"/>
  <c r="L62" i="29"/>
  <c r="N61" i="29"/>
  <c r="L61" i="29"/>
  <c r="N60" i="29"/>
  <c r="L60" i="29"/>
  <c r="N59" i="29"/>
  <c r="L59" i="29"/>
  <c r="N58" i="29"/>
  <c r="L58" i="29"/>
  <c r="N57" i="29"/>
  <c r="L57" i="29"/>
  <c r="N56" i="29"/>
  <c r="L56" i="29"/>
  <c r="N55" i="29"/>
  <c r="L55" i="29"/>
  <c r="N53" i="29"/>
  <c r="L53" i="29"/>
  <c r="N52" i="29"/>
  <c r="L52" i="29"/>
  <c r="N51" i="29"/>
  <c r="L51" i="29"/>
  <c r="N50" i="29"/>
  <c r="L50" i="29"/>
  <c r="N49" i="29"/>
  <c r="L49" i="29"/>
  <c r="N48" i="29"/>
  <c r="L48" i="29"/>
  <c r="N47" i="29"/>
  <c r="L47" i="29"/>
  <c r="N46" i="29"/>
  <c r="L46" i="29"/>
  <c r="N45" i="29"/>
  <c r="L45" i="29"/>
  <c r="N43" i="29"/>
  <c r="L43" i="29"/>
  <c r="N42" i="29"/>
  <c r="L42" i="29"/>
  <c r="N41" i="29"/>
  <c r="L41" i="29"/>
  <c r="N40" i="29"/>
  <c r="L40" i="29"/>
  <c r="N39" i="29"/>
  <c r="L39" i="29"/>
  <c r="N38" i="29"/>
  <c r="L38" i="29"/>
  <c r="N37" i="29"/>
  <c r="L37" i="29"/>
  <c r="N36" i="29"/>
  <c r="L36" i="29"/>
  <c r="N35" i="29"/>
  <c r="L35" i="29"/>
  <c r="N33" i="29"/>
  <c r="L33" i="29"/>
  <c r="N32" i="29"/>
  <c r="L32" i="29"/>
  <c r="N31" i="29"/>
  <c r="L31" i="29"/>
  <c r="N30" i="29"/>
  <c r="L30" i="29"/>
  <c r="N29" i="29"/>
  <c r="L29" i="29"/>
  <c r="N28" i="29"/>
  <c r="L28" i="29"/>
  <c r="N27" i="29"/>
  <c r="L27" i="29"/>
  <c r="N26" i="29"/>
  <c r="L26" i="29"/>
  <c r="N25" i="29"/>
  <c r="L25" i="29"/>
  <c r="N23" i="29"/>
  <c r="L23" i="29"/>
  <c r="N22" i="29"/>
  <c r="L22" i="29"/>
  <c r="N21" i="29"/>
  <c r="L21" i="29"/>
  <c r="N20" i="29"/>
  <c r="L20" i="29"/>
  <c r="N19" i="29"/>
  <c r="L19" i="29"/>
  <c r="N18" i="29"/>
  <c r="L18" i="29"/>
  <c r="N17" i="29"/>
  <c r="L17" i="29"/>
  <c r="N16" i="29"/>
  <c r="L16" i="29"/>
  <c r="N15" i="29"/>
  <c r="L15" i="29"/>
  <c r="N13" i="29"/>
  <c r="L13" i="29"/>
  <c r="N12" i="29"/>
  <c r="L12" i="29"/>
  <c r="N11" i="29"/>
  <c r="L11" i="29"/>
  <c r="N10" i="29"/>
  <c r="L10" i="29"/>
  <c r="N9" i="29"/>
  <c r="L9" i="29"/>
  <c r="N8" i="29"/>
  <c r="L8" i="29"/>
  <c r="N7" i="29"/>
  <c r="L7" i="29"/>
  <c r="N6" i="29"/>
  <c r="L6" i="29"/>
  <c r="N5" i="29"/>
  <c r="L5" i="29"/>
  <c r="N73" i="28"/>
  <c r="L73" i="28"/>
  <c r="N72" i="28"/>
  <c r="L72" i="28"/>
  <c r="N71" i="28"/>
  <c r="L71" i="28"/>
  <c r="N70" i="28"/>
  <c r="L70" i="28"/>
  <c r="N69" i="28"/>
  <c r="L69" i="28"/>
  <c r="N68" i="28"/>
  <c r="L68" i="28"/>
  <c r="N67" i="28"/>
  <c r="L67" i="28"/>
  <c r="N66" i="28"/>
  <c r="L66" i="28"/>
  <c r="N65" i="28"/>
  <c r="L65" i="28"/>
  <c r="N63" i="28"/>
  <c r="L63" i="28"/>
  <c r="N62" i="28"/>
  <c r="L62" i="28"/>
  <c r="N61" i="28"/>
  <c r="L61" i="28"/>
  <c r="N60" i="28"/>
  <c r="L60" i="28"/>
  <c r="N59" i="28"/>
  <c r="L59" i="28"/>
  <c r="N58" i="28"/>
  <c r="L58" i="28"/>
  <c r="N57" i="28"/>
  <c r="L57" i="28"/>
  <c r="N56" i="28"/>
  <c r="L56" i="28"/>
  <c r="N55" i="28"/>
  <c r="L55" i="28"/>
  <c r="N53" i="28"/>
  <c r="L53" i="28"/>
  <c r="N52" i="28"/>
  <c r="L52" i="28"/>
  <c r="N51" i="28"/>
  <c r="L51" i="28"/>
  <c r="N50" i="28"/>
  <c r="L50" i="28"/>
  <c r="N49" i="28"/>
  <c r="L49" i="28"/>
  <c r="N48" i="28"/>
  <c r="L48" i="28"/>
  <c r="N47" i="28"/>
  <c r="L47" i="28"/>
  <c r="N46" i="28"/>
  <c r="L46" i="28"/>
  <c r="N45" i="28"/>
  <c r="L45" i="28"/>
  <c r="N43" i="28"/>
  <c r="L43" i="28"/>
  <c r="N42" i="28"/>
  <c r="L42" i="28"/>
  <c r="N41" i="28"/>
  <c r="L41" i="28"/>
  <c r="N40" i="28"/>
  <c r="L40" i="28"/>
  <c r="N39" i="28"/>
  <c r="L39" i="28"/>
  <c r="N38" i="28"/>
  <c r="L38" i="28"/>
  <c r="N37" i="28"/>
  <c r="L37" i="28"/>
  <c r="N36" i="28"/>
  <c r="L36" i="28"/>
  <c r="N35" i="28"/>
  <c r="L35" i="28"/>
  <c r="N33" i="28"/>
  <c r="L33" i="28"/>
  <c r="N32" i="28"/>
  <c r="L32" i="28"/>
  <c r="N31" i="28"/>
  <c r="L31" i="28"/>
  <c r="N30" i="28"/>
  <c r="L30" i="28"/>
  <c r="N29" i="28"/>
  <c r="L29" i="28"/>
  <c r="N28" i="28"/>
  <c r="L28" i="28"/>
  <c r="N27" i="28"/>
  <c r="L27" i="28"/>
  <c r="N26" i="28"/>
  <c r="L26" i="28"/>
  <c r="N25" i="28"/>
  <c r="L25" i="28"/>
  <c r="N23" i="28"/>
  <c r="L23" i="28"/>
  <c r="N22" i="28"/>
  <c r="L22" i="28"/>
  <c r="N21" i="28"/>
  <c r="L21" i="28"/>
  <c r="N20" i="28"/>
  <c r="L20" i="28"/>
  <c r="N19" i="28"/>
  <c r="L19" i="28"/>
  <c r="N18" i="28"/>
  <c r="L18" i="28"/>
  <c r="N17" i="28"/>
  <c r="L17" i="28"/>
  <c r="N16" i="28"/>
  <c r="L16" i="28"/>
  <c r="N15" i="28"/>
  <c r="L15" i="28"/>
  <c r="N13" i="28"/>
  <c r="L13" i="28"/>
  <c r="N12" i="28"/>
  <c r="L12" i="28"/>
  <c r="N11" i="28"/>
  <c r="L11" i="28"/>
  <c r="N10" i="28"/>
  <c r="L10" i="28"/>
  <c r="N9" i="28"/>
  <c r="L9" i="28"/>
  <c r="N8" i="28"/>
  <c r="L8" i="28"/>
  <c r="N7" i="28"/>
  <c r="L7" i="28"/>
  <c r="N6" i="28"/>
  <c r="L6" i="28"/>
  <c r="N5" i="28"/>
  <c r="L5" i="28"/>
  <c r="N73" i="27"/>
  <c r="L73" i="27"/>
  <c r="N72" i="27"/>
  <c r="L72" i="27"/>
  <c r="N71" i="27"/>
  <c r="L71" i="27"/>
  <c r="N70" i="27"/>
  <c r="L70" i="27"/>
  <c r="N69" i="27"/>
  <c r="L69" i="27"/>
  <c r="N68" i="27"/>
  <c r="L68" i="27"/>
  <c r="N67" i="27"/>
  <c r="L67" i="27"/>
  <c r="N66" i="27"/>
  <c r="L66" i="27"/>
  <c r="N65" i="27"/>
  <c r="L65" i="27"/>
  <c r="N63" i="27"/>
  <c r="L63" i="27"/>
  <c r="N62" i="27"/>
  <c r="L62" i="27"/>
  <c r="N61" i="27"/>
  <c r="L61" i="27"/>
  <c r="L60" i="27"/>
  <c r="N60" i="27" s="1"/>
  <c r="N59" i="27"/>
  <c r="L59" i="27"/>
  <c r="N58" i="27"/>
  <c r="L58" i="27"/>
  <c r="N57" i="27"/>
  <c r="L57" i="27"/>
  <c r="N56" i="27"/>
  <c r="L56" i="27"/>
  <c r="N55" i="27"/>
  <c r="L55" i="27"/>
  <c r="L53" i="27"/>
  <c r="N53" i="27" s="1"/>
  <c r="N52" i="27"/>
  <c r="L52" i="27"/>
  <c r="N51" i="27"/>
  <c r="L51" i="27"/>
  <c r="N50" i="27"/>
  <c r="L50" i="27"/>
  <c r="N49" i="27"/>
  <c r="L49" i="27"/>
  <c r="N48" i="27"/>
  <c r="L48" i="27"/>
  <c r="L47" i="27"/>
  <c r="N47" i="27" s="1"/>
  <c r="N46" i="27"/>
  <c r="L46" i="27"/>
  <c r="N45" i="27"/>
  <c r="L45" i="27"/>
  <c r="N43" i="27"/>
  <c r="L43" i="27"/>
  <c r="N42" i="27"/>
  <c r="L42" i="27"/>
  <c r="N41" i="27"/>
  <c r="L41" i="27"/>
  <c r="L40" i="27"/>
  <c r="N40" i="27" s="1"/>
  <c r="N39" i="27"/>
  <c r="L39" i="27"/>
  <c r="N38" i="27"/>
  <c r="L38" i="27"/>
  <c r="N37" i="27"/>
  <c r="L37" i="27"/>
  <c r="N36" i="27"/>
  <c r="L36" i="27"/>
  <c r="N35" i="27"/>
  <c r="L35" i="27"/>
  <c r="L33" i="27"/>
  <c r="N33" i="27" s="1"/>
  <c r="N32" i="27"/>
  <c r="L32" i="27"/>
  <c r="N31" i="27"/>
  <c r="L31" i="27"/>
  <c r="N30" i="27"/>
  <c r="L30" i="27"/>
  <c r="N29" i="27"/>
  <c r="L29" i="27"/>
  <c r="N28" i="27"/>
  <c r="L28" i="27"/>
  <c r="L27" i="27"/>
  <c r="N27" i="27" s="1"/>
  <c r="N26" i="27"/>
  <c r="L26" i="27"/>
  <c r="N25" i="27"/>
  <c r="L25" i="27"/>
  <c r="N23" i="27"/>
  <c r="L23" i="27"/>
  <c r="N22" i="27"/>
  <c r="L22" i="27"/>
  <c r="N21" i="27"/>
  <c r="L21" i="27"/>
  <c r="L20" i="27"/>
  <c r="N20" i="27" s="1"/>
  <c r="N19" i="27"/>
  <c r="L19" i="27"/>
  <c r="N18" i="27"/>
  <c r="L18" i="27"/>
  <c r="N17" i="27"/>
  <c r="L17" i="27"/>
  <c r="N16" i="27"/>
  <c r="L16" i="27"/>
  <c r="N15" i="27"/>
  <c r="L15" i="27"/>
  <c r="L13" i="27"/>
  <c r="N13" i="27" s="1"/>
  <c r="N12" i="27"/>
  <c r="L12" i="27"/>
  <c r="N11" i="27"/>
  <c r="L11" i="27"/>
  <c r="N10" i="27"/>
  <c r="L10" i="27"/>
  <c r="N9" i="27"/>
  <c r="L9" i="27"/>
  <c r="N8" i="27"/>
  <c r="L8" i="27"/>
  <c r="L7" i="27"/>
  <c r="N7" i="27" s="1"/>
  <c r="N6" i="27"/>
  <c r="L6" i="27"/>
  <c r="N5" i="27"/>
  <c r="L5" i="27"/>
  <c r="N73" i="26"/>
  <c r="L73" i="26"/>
  <c r="N72" i="26"/>
  <c r="L72" i="26"/>
  <c r="N71" i="26"/>
  <c r="L71" i="26"/>
  <c r="N70" i="26"/>
  <c r="L70" i="26"/>
  <c r="L69" i="26"/>
  <c r="N69" i="26" s="1"/>
  <c r="N68" i="26"/>
  <c r="L68" i="26"/>
  <c r="N67" i="26"/>
  <c r="L67" i="26"/>
  <c r="N66" i="26"/>
  <c r="L66" i="26"/>
  <c r="N65" i="26"/>
  <c r="L65" i="26"/>
  <c r="N63" i="26"/>
  <c r="L63" i="26"/>
  <c r="L62" i="26"/>
  <c r="N62" i="26" s="1"/>
  <c r="N61" i="26"/>
  <c r="L61" i="26"/>
  <c r="N60" i="26"/>
  <c r="L60" i="26"/>
  <c r="N59" i="26"/>
  <c r="L59" i="26"/>
  <c r="N58" i="26"/>
  <c r="L58" i="26"/>
  <c r="N57" i="26"/>
  <c r="L57" i="26"/>
  <c r="L56" i="26"/>
  <c r="N56" i="26" s="1"/>
  <c r="N55" i="26"/>
  <c r="L55" i="26"/>
  <c r="N53" i="26"/>
  <c r="L53" i="26"/>
  <c r="N52" i="26"/>
  <c r="L52" i="26"/>
  <c r="N51" i="26"/>
  <c r="L51" i="26"/>
  <c r="N50" i="26"/>
  <c r="L50" i="26"/>
  <c r="L49" i="26"/>
  <c r="N49" i="26" s="1"/>
  <c r="N48" i="26"/>
  <c r="L48" i="26"/>
  <c r="N47" i="26"/>
  <c r="L47" i="26"/>
  <c r="N46" i="26"/>
  <c r="L46" i="26"/>
  <c r="N45" i="26"/>
  <c r="L45" i="26"/>
  <c r="N43" i="26"/>
  <c r="L43" i="26"/>
  <c r="L42" i="26"/>
  <c r="N42" i="26" s="1"/>
  <c r="N41" i="26"/>
  <c r="L41" i="26"/>
  <c r="N40" i="26"/>
  <c r="L40" i="26"/>
  <c r="N39" i="26"/>
  <c r="L39" i="26"/>
  <c r="N38" i="26"/>
  <c r="L38" i="26"/>
  <c r="N37" i="26"/>
  <c r="L37" i="26"/>
  <c r="L36" i="26"/>
  <c r="N36" i="26" s="1"/>
  <c r="N35" i="26"/>
  <c r="L35" i="26"/>
  <c r="N33" i="26"/>
  <c r="L33" i="26"/>
  <c r="L32" i="26"/>
  <c r="N32" i="26" s="1"/>
  <c r="N31" i="26"/>
  <c r="L31" i="26"/>
  <c r="N30" i="26"/>
  <c r="L30" i="26"/>
  <c r="L29" i="26"/>
  <c r="N29" i="26" s="1"/>
  <c r="N28" i="26"/>
  <c r="L28" i="26"/>
  <c r="N27" i="26"/>
  <c r="L27" i="26"/>
  <c r="L26" i="26"/>
  <c r="N26" i="26" s="1"/>
  <c r="N25" i="26"/>
  <c r="L25" i="26"/>
  <c r="N23" i="26"/>
  <c r="L23" i="26"/>
  <c r="L22" i="26"/>
  <c r="N22" i="26" s="1"/>
  <c r="N21" i="26"/>
  <c r="L21" i="26"/>
  <c r="N20" i="26"/>
  <c r="L20" i="26"/>
  <c r="L19" i="26"/>
  <c r="N19" i="26" s="1"/>
  <c r="N18" i="26"/>
  <c r="L18" i="26"/>
  <c r="N17" i="26"/>
  <c r="L17" i="26"/>
  <c r="L16" i="26"/>
  <c r="N16" i="26" s="1"/>
  <c r="N15" i="26"/>
  <c r="L15" i="26"/>
  <c r="N13" i="26"/>
  <c r="L13" i="26"/>
  <c r="L12" i="26"/>
  <c r="N12" i="26" s="1"/>
  <c r="N11" i="26"/>
  <c r="L11" i="26"/>
  <c r="N10" i="26"/>
  <c r="L10" i="26"/>
  <c r="L9" i="26"/>
  <c r="N9" i="26" s="1"/>
  <c r="N8" i="26"/>
  <c r="L8" i="26"/>
  <c r="N7" i="26"/>
  <c r="L7" i="26"/>
  <c r="L6" i="26"/>
  <c r="N6" i="26" s="1"/>
  <c r="N5" i="26"/>
  <c r="L5" i="26"/>
  <c r="L73" i="25"/>
  <c r="N73" i="25" s="1"/>
  <c r="L72" i="25"/>
  <c r="N72" i="25" s="1"/>
  <c r="L71" i="25"/>
  <c r="N71" i="25" s="1"/>
  <c r="L70" i="25"/>
  <c r="N70" i="25" s="1"/>
  <c r="L69" i="25"/>
  <c r="N69" i="25" s="1"/>
  <c r="L68" i="25"/>
  <c r="N68" i="25" s="1"/>
  <c r="L67" i="25"/>
  <c r="N67" i="25" s="1"/>
  <c r="L66" i="25"/>
  <c r="N66" i="25" s="1"/>
  <c r="L65" i="25"/>
  <c r="N65" i="25" s="1"/>
  <c r="L63" i="25"/>
  <c r="N63" i="25" s="1"/>
  <c r="L62" i="25"/>
  <c r="N62" i="25" s="1"/>
  <c r="L61" i="25"/>
  <c r="N61" i="25" s="1"/>
  <c r="L60" i="25"/>
  <c r="N60" i="25" s="1"/>
  <c r="L59" i="25"/>
  <c r="N59" i="25" s="1"/>
  <c r="L58" i="25"/>
  <c r="N58" i="25" s="1"/>
  <c r="L57" i="25"/>
  <c r="N57" i="25" s="1"/>
  <c r="L56" i="25"/>
  <c r="N56" i="25" s="1"/>
  <c r="L55" i="25"/>
  <c r="N55" i="25" s="1"/>
  <c r="L53" i="25"/>
  <c r="N53" i="25" s="1"/>
  <c r="L52" i="25"/>
  <c r="N52" i="25" s="1"/>
  <c r="L51" i="25"/>
  <c r="N51" i="25" s="1"/>
  <c r="L50" i="25"/>
  <c r="N50" i="25" s="1"/>
  <c r="L49" i="25"/>
  <c r="N49" i="25" s="1"/>
  <c r="L48" i="25"/>
  <c r="N48" i="25" s="1"/>
  <c r="L47" i="25"/>
  <c r="N47" i="25" s="1"/>
  <c r="L46" i="25"/>
  <c r="N46" i="25" s="1"/>
  <c r="L45" i="25"/>
  <c r="N45" i="25" s="1"/>
  <c r="L43" i="25"/>
  <c r="N43" i="25" s="1"/>
  <c r="L42" i="25"/>
  <c r="N42" i="25" s="1"/>
  <c r="L41" i="25"/>
  <c r="N41" i="25" s="1"/>
  <c r="L40" i="25"/>
  <c r="N40" i="25" s="1"/>
  <c r="L39" i="25"/>
  <c r="N39" i="25" s="1"/>
  <c r="L38" i="25"/>
  <c r="N38" i="25" s="1"/>
  <c r="L37" i="25"/>
  <c r="N37" i="25" s="1"/>
  <c r="L36" i="25"/>
  <c r="N36" i="25" s="1"/>
  <c r="L35" i="25"/>
  <c r="N35" i="25" s="1"/>
  <c r="L33" i="25"/>
  <c r="N33" i="25" s="1"/>
  <c r="L32" i="25"/>
  <c r="N32" i="25" s="1"/>
  <c r="L31" i="25"/>
  <c r="N31" i="25" s="1"/>
  <c r="L30" i="25"/>
  <c r="N30" i="25" s="1"/>
  <c r="L29" i="25"/>
  <c r="N29" i="25" s="1"/>
  <c r="L28" i="25"/>
  <c r="N28" i="25" s="1"/>
  <c r="L27" i="25"/>
  <c r="N27" i="25" s="1"/>
  <c r="L26" i="25"/>
  <c r="N26" i="25" s="1"/>
  <c r="L25" i="25"/>
  <c r="N25" i="25" s="1"/>
  <c r="L23" i="25"/>
  <c r="N23" i="25" s="1"/>
  <c r="L22" i="25"/>
  <c r="N22" i="25" s="1"/>
  <c r="L21" i="25"/>
  <c r="N21" i="25" s="1"/>
  <c r="L20" i="25"/>
  <c r="N20" i="25" s="1"/>
  <c r="L19" i="25"/>
  <c r="N19" i="25" s="1"/>
  <c r="L18" i="25"/>
  <c r="N18" i="25" s="1"/>
  <c r="L17" i="25"/>
  <c r="N17" i="25" s="1"/>
  <c r="L16" i="25"/>
  <c r="N16" i="25" s="1"/>
  <c r="L15" i="25"/>
  <c r="N15" i="25" s="1"/>
  <c r="L13" i="25"/>
  <c r="N13" i="25" s="1"/>
  <c r="L12" i="25"/>
  <c r="N12" i="25" s="1"/>
  <c r="L11" i="25"/>
  <c r="N11" i="25" s="1"/>
  <c r="L10" i="25"/>
  <c r="N10" i="25" s="1"/>
  <c r="L9" i="25"/>
  <c r="N9" i="25" s="1"/>
  <c r="L8" i="25"/>
  <c r="N8" i="25" s="1"/>
  <c r="L7" i="25"/>
  <c r="N7" i="25" s="1"/>
  <c r="L6" i="25"/>
  <c r="N6" i="25" s="1"/>
  <c r="L5" i="25"/>
  <c r="N5" i="25" s="1"/>
  <c r="L73" i="24"/>
  <c r="N73" i="24" s="1"/>
  <c r="N72" i="24"/>
  <c r="L72" i="24"/>
  <c r="N71" i="24"/>
  <c r="L71" i="24"/>
  <c r="L70" i="24"/>
  <c r="N70" i="24" s="1"/>
  <c r="N69" i="24"/>
  <c r="L69" i="24"/>
  <c r="L68" i="24"/>
  <c r="N68" i="24" s="1"/>
  <c r="L67" i="24"/>
  <c r="N67" i="24" s="1"/>
  <c r="L66" i="24"/>
  <c r="N66" i="24" s="1"/>
  <c r="N65" i="24"/>
  <c r="L65" i="24"/>
  <c r="N63" i="24"/>
  <c r="L63" i="24"/>
  <c r="N62" i="24"/>
  <c r="L62" i="24"/>
  <c r="L61" i="24"/>
  <c r="N61" i="24" s="1"/>
  <c r="L60" i="24"/>
  <c r="N60" i="24" s="1"/>
  <c r="N59" i="24"/>
  <c r="L59" i="24"/>
  <c r="N58" i="24"/>
  <c r="L58" i="24"/>
  <c r="L57" i="24"/>
  <c r="N57" i="24" s="1"/>
  <c r="N56" i="24"/>
  <c r="L56" i="24"/>
  <c r="N55" i="24"/>
  <c r="L55" i="24"/>
  <c r="L53" i="24"/>
  <c r="N53" i="24" s="1"/>
  <c r="N52" i="24"/>
  <c r="L52" i="24"/>
  <c r="N51" i="24"/>
  <c r="L51" i="24"/>
  <c r="N50" i="24"/>
  <c r="L50" i="24"/>
  <c r="N49" i="24"/>
  <c r="L49" i="24"/>
  <c r="N48" i="24"/>
  <c r="L48" i="24"/>
  <c r="L47" i="24"/>
  <c r="N47" i="24" s="1"/>
  <c r="L46" i="24"/>
  <c r="N46" i="24" s="1"/>
  <c r="N45" i="24"/>
  <c r="L45" i="24"/>
  <c r="N43" i="24"/>
  <c r="L43" i="24"/>
  <c r="N42" i="24"/>
  <c r="L42" i="24"/>
  <c r="L41" i="24"/>
  <c r="N41" i="24" s="1"/>
  <c r="L40" i="24"/>
  <c r="N40" i="24" s="1"/>
  <c r="L39" i="24"/>
  <c r="N39" i="24" s="1"/>
  <c r="N38" i="24"/>
  <c r="L38" i="24"/>
  <c r="L37" i="24"/>
  <c r="N37" i="24" s="1"/>
  <c r="N36" i="24"/>
  <c r="L36" i="24"/>
  <c r="N35" i="24"/>
  <c r="L35" i="24"/>
  <c r="L33" i="24"/>
  <c r="N33" i="24" s="1"/>
  <c r="N32" i="24"/>
  <c r="L32" i="24"/>
  <c r="N31" i="24"/>
  <c r="L31" i="24"/>
  <c r="N30" i="24"/>
  <c r="L30" i="24"/>
  <c r="N29" i="24"/>
  <c r="L29" i="24"/>
  <c r="L28" i="24"/>
  <c r="N28" i="24" s="1"/>
  <c r="L27" i="24"/>
  <c r="N27" i="24" s="1"/>
  <c r="N26" i="24"/>
  <c r="L26" i="24"/>
  <c r="N25" i="24"/>
  <c r="L25" i="24"/>
  <c r="N23" i="24"/>
  <c r="L23" i="24"/>
  <c r="N22" i="24"/>
  <c r="L22" i="24"/>
  <c r="N21" i="24"/>
  <c r="L21" i="24"/>
  <c r="L20" i="24"/>
  <c r="N20" i="24" s="1"/>
  <c r="L19" i="24"/>
  <c r="N19" i="24" s="1"/>
  <c r="N18" i="24"/>
  <c r="L18" i="24"/>
  <c r="L17" i="24"/>
  <c r="N17" i="24" s="1"/>
  <c r="N16" i="24"/>
  <c r="L16" i="24"/>
  <c r="N15" i="24"/>
  <c r="L15" i="24"/>
  <c r="L13" i="24"/>
  <c r="N13" i="24" s="1"/>
  <c r="N12" i="24"/>
  <c r="L12" i="24"/>
  <c r="N11" i="24"/>
  <c r="L11" i="24"/>
  <c r="L10" i="24"/>
  <c r="N10" i="24" s="1"/>
  <c r="N9" i="24"/>
  <c r="L9" i="24"/>
  <c r="L8" i="24"/>
  <c r="N8" i="24" s="1"/>
  <c r="L7" i="24"/>
  <c r="N7" i="24" s="1"/>
  <c r="L6" i="24"/>
  <c r="N6" i="24" s="1"/>
  <c r="N5" i="24"/>
  <c r="L5" i="24"/>
  <c r="N73" i="23"/>
  <c r="L73" i="23"/>
  <c r="N72" i="23"/>
  <c r="L72" i="23"/>
  <c r="N71" i="23"/>
  <c r="L71" i="23"/>
  <c r="N70" i="23"/>
  <c r="L70" i="23"/>
  <c r="L69" i="23"/>
  <c r="N69" i="23" s="1"/>
  <c r="N68" i="23"/>
  <c r="L68" i="23"/>
  <c r="N67" i="23"/>
  <c r="L67" i="23"/>
  <c r="N66" i="23"/>
  <c r="L66" i="23"/>
  <c r="N65" i="23"/>
  <c r="L65" i="23"/>
  <c r="N63" i="23"/>
  <c r="L63" i="23"/>
  <c r="L62" i="23"/>
  <c r="N62" i="23" s="1"/>
  <c r="N61" i="23"/>
  <c r="L61" i="23"/>
  <c r="N60" i="23"/>
  <c r="L60" i="23"/>
  <c r="L59" i="23"/>
  <c r="N59" i="23" s="1"/>
  <c r="N58" i="23"/>
  <c r="L58" i="23"/>
  <c r="L57" i="23"/>
  <c r="N57" i="23" s="1"/>
  <c r="L56" i="23"/>
  <c r="N56" i="23" s="1"/>
  <c r="L55" i="23"/>
  <c r="N55" i="23" s="1"/>
  <c r="N53" i="23"/>
  <c r="L53" i="23"/>
  <c r="N52" i="23"/>
  <c r="L52" i="23"/>
  <c r="N51" i="23"/>
  <c r="L51" i="23"/>
  <c r="L50" i="23"/>
  <c r="N50" i="23" s="1"/>
  <c r="L49" i="23"/>
  <c r="N49" i="23" s="1"/>
  <c r="N48" i="23"/>
  <c r="L48" i="23"/>
  <c r="N47" i="23"/>
  <c r="L47" i="23"/>
  <c r="L46" i="23"/>
  <c r="N46" i="23" s="1"/>
  <c r="N45" i="23"/>
  <c r="L45" i="23"/>
  <c r="N43" i="23"/>
  <c r="L43" i="23"/>
  <c r="L42" i="23"/>
  <c r="N42" i="23" s="1"/>
  <c r="N41" i="23"/>
  <c r="L41" i="23"/>
  <c r="N40" i="23"/>
  <c r="L40" i="23"/>
  <c r="N39" i="23"/>
  <c r="L39" i="23"/>
  <c r="N38" i="23"/>
  <c r="L38" i="23"/>
  <c r="N37" i="23"/>
  <c r="L37" i="23"/>
  <c r="L36" i="23"/>
  <c r="N36" i="23" s="1"/>
  <c r="L35" i="23"/>
  <c r="N35" i="23" s="1"/>
  <c r="L33" i="23"/>
  <c r="N33" i="23" s="1"/>
  <c r="L32" i="23"/>
  <c r="N32" i="23" s="1"/>
  <c r="L31" i="23"/>
  <c r="N31" i="23" s="1"/>
  <c r="L30" i="23"/>
  <c r="N30" i="23" s="1"/>
  <c r="L29" i="23"/>
  <c r="N29" i="23" s="1"/>
  <c r="L28" i="23"/>
  <c r="N28" i="23" s="1"/>
  <c r="L27" i="23"/>
  <c r="N27" i="23" s="1"/>
  <c r="L26" i="23"/>
  <c r="N26" i="23" s="1"/>
  <c r="L25" i="23"/>
  <c r="N25" i="23" s="1"/>
  <c r="L23" i="23"/>
  <c r="N23" i="23" s="1"/>
  <c r="L22" i="23"/>
  <c r="N22" i="23" s="1"/>
  <c r="L21" i="23"/>
  <c r="N21" i="23" s="1"/>
  <c r="L20" i="23"/>
  <c r="N20" i="23" s="1"/>
  <c r="L19" i="23"/>
  <c r="N19" i="23" s="1"/>
  <c r="L18" i="23"/>
  <c r="N18" i="23" s="1"/>
  <c r="L17" i="23"/>
  <c r="N17" i="23" s="1"/>
  <c r="L16" i="23"/>
  <c r="N16" i="23" s="1"/>
  <c r="L15" i="23"/>
  <c r="N15" i="23" s="1"/>
  <c r="L13" i="23"/>
  <c r="N13" i="23" s="1"/>
  <c r="N12" i="23"/>
  <c r="L12" i="23"/>
  <c r="N11" i="23"/>
  <c r="L11" i="23"/>
  <c r="N10" i="23"/>
  <c r="L10" i="23"/>
  <c r="L9" i="23"/>
  <c r="N9" i="23" s="1"/>
  <c r="L8" i="23"/>
  <c r="N8" i="23" s="1"/>
  <c r="N7" i="23"/>
  <c r="L7" i="23"/>
  <c r="L6" i="23"/>
  <c r="N6" i="23" s="1"/>
  <c r="N5" i="23"/>
  <c r="L5" i="23"/>
  <c r="N73" i="22"/>
  <c r="L73" i="22"/>
  <c r="N72" i="22"/>
  <c r="L72" i="22"/>
  <c r="L71" i="22"/>
  <c r="N71" i="22" s="1"/>
  <c r="N70" i="22"/>
  <c r="L70" i="22"/>
  <c r="N69" i="22"/>
  <c r="L69" i="22"/>
  <c r="L68" i="22"/>
  <c r="N68" i="22" s="1"/>
  <c r="N67" i="22"/>
  <c r="L67" i="22"/>
  <c r="L66" i="22"/>
  <c r="N66" i="22" s="1"/>
  <c r="L65" i="22"/>
  <c r="N65" i="22" s="1"/>
  <c r="L63" i="22"/>
  <c r="N63" i="22" s="1"/>
  <c r="L62" i="22"/>
  <c r="N62" i="22" s="1"/>
  <c r="N61" i="22"/>
  <c r="L61" i="22"/>
  <c r="N60" i="22"/>
  <c r="L60" i="22"/>
  <c r="N59" i="22"/>
  <c r="L59" i="22"/>
  <c r="L58" i="22"/>
  <c r="N58" i="22" s="1"/>
  <c r="N57" i="22"/>
  <c r="L57" i="22"/>
  <c r="N56" i="22"/>
  <c r="L56" i="22"/>
  <c r="N55" i="22"/>
  <c r="L55" i="22"/>
  <c r="N53" i="22"/>
  <c r="L53" i="22"/>
  <c r="N52" i="22"/>
  <c r="L52" i="22"/>
  <c r="L51" i="22"/>
  <c r="N51" i="22" s="1"/>
  <c r="L50" i="22"/>
  <c r="N50" i="22" s="1"/>
  <c r="L49" i="22"/>
  <c r="N49" i="22" s="1"/>
  <c r="L48" i="22"/>
  <c r="N48" i="22" s="1"/>
  <c r="N47" i="22"/>
  <c r="L47" i="22"/>
  <c r="L46" i="22"/>
  <c r="N46" i="22" s="1"/>
  <c r="L45" i="22"/>
  <c r="N45" i="22" s="1"/>
  <c r="L43" i="22"/>
  <c r="N43" i="22" s="1"/>
  <c r="L42" i="22"/>
  <c r="N42" i="22" s="1"/>
  <c r="L41" i="22"/>
  <c r="N41" i="22" s="1"/>
  <c r="L40" i="22"/>
  <c r="N40" i="22" s="1"/>
  <c r="L39" i="22"/>
  <c r="N39" i="22" s="1"/>
  <c r="L38" i="22"/>
  <c r="N38" i="22" s="1"/>
  <c r="L37" i="22"/>
  <c r="N37" i="22" s="1"/>
  <c r="L36" i="22"/>
  <c r="N36" i="22" s="1"/>
  <c r="L35" i="22"/>
  <c r="N35" i="22" s="1"/>
  <c r="L33" i="22"/>
  <c r="N33" i="22" s="1"/>
  <c r="L32" i="22"/>
  <c r="N32" i="22" s="1"/>
  <c r="L31" i="22"/>
  <c r="N31" i="22" s="1"/>
  <c r="L30" i="22"/>
  <c r="N30" i="22" s="1"/>
  <c r="L29" i="22"/>
  <c r="N29" i="22" s="1"/>
  <c r="L28" i="22"/>
  <c r="N28" i="22" s="1"/>
  <c r="L27" i="22"/>
  <c r="N27" i="22" s="1"/>
  <c r="L26" i="22"/>
  <c r="N26" i="22" s="1"/>
  <c r="L25" i="22"/>
  <c r="N25" i="22" s="1"/>
  <c r="L23" i="22"/>
  <c r="N23" i="22" s="1"/>
  <c r="N22" i="22"/>
  <c r="L22" i="22"/>
  <c r="L21" i="22"/>
  <c r="N21" i="22" s="1"/>
  <c r="L20" i="22"/>
  <c r="N20" i="22" s="1"/>
  <c r="L19" i="22"/>
  <c r="N19" i="22" s="1"/>
  <c r="L18" i="22"/>
  <c r="N18" i="22" s="1"/>
  <c r="L17" i="22"/>
  <c r="N17" i="22" s="1"/>
  <c r="L16" i="22"/>
  <c r="N16" i="22" s="1"/>
  <c r="L15" i="22"/>
  <c r="N15" i="22" s="1"/>
  <c r="N13" i="22"/>
  <c r="L13" i="22"/>
  <c r="N12" i="22"/>
  <c r="L12" i="22"/>
  <c r="L11" i="22"/>
  <c r="N11" i="22" s="1"/>
  <c r="N10" i="22"/>
  <c r="L10" i="22"/>
  <c r="L9" i="22"/>
  <c r="N9" i="22" s="1"/>
  <c r="N8" i="22"/>
  <c r="L8" i="22"/>
  <c r="N7" i="22"/>
  <c r="L7" i="22"/>
  <c r="L6" i="22"/>
  <c r="N6" i="22" s="1"/>
  <c r="L5" i="22"/>
  <c r="N5" i="22" s="1"/>
  <c r="L73" i="21"/>
  <c r="N73" i="21" s="1"/>
  <c r="L72" i="21"/>
  <c r="N72" i="21" s="1"/>
  <c r="N71" i="21"/>
  <c r="L71" i="21"/>
  <c r="L70" i="21"/>
  <c r="N70" i="21" s="1"/>
  <c r="N69" i="21"/>
  <c r="L69" i="21"/>
  <c r="N68" i="21"/>
  <c r="L68" i="21"/>
  <c r="L67" i="21"/>
  <c r="N67" i="21" s="1"/>
  <c r="N66" i="21"/>
  <c r="L66" i="21"/>
  <c r="N65" i="21"/>
  <c r="L65" i="21"/>
  <c r="L63" i="21"/>
  <c r="N63" i="21" s="1"/>
  <c r="N62" i="21"/>
  <c r="L62" i="21"/>
  <c r="L61" i="21"/>
  <c r="N61" i="21" s="1"/>
  <c r="L60" i="21"/>
  <c r="N60" i="21" s="1"/>
  <c r="L59" i="21"/>
  <c r="N59" i="21" s="1"/>
  <c r="L58" i="21"/>
  <c r="N58" i="21" s="1"/>
  <c r="N57" i="21"/>
  <c r="L57" i="21"/>
  <c r="L56" i="21"/>
  <c r="N56" i="21" s="1"/>
  <c r="N55" i="21"/>
  <c r="L55" i="21"/>
  <c r="L53" i="21"/>
  <c r="N53" i="21" s="1"/>
  <c r="N52" i="21"/>
  <c r="L52" i="21"/>
  <c r="N51" i="21"/>
  <c r="L51" i="21"/>
  <c r="N50" i="21"/>
  <c r="L50" i="21"/>
  <c r="L49" i="21"/>
  <c r="N49" i="21" s="1"/>
  <c r="N48" i="21"/>
  <c r="L48" i="21"/>
  <c r="L47" i="21"/>
  <c r="N47" i="21" s="1"/>
  <c r="N46" i="21"/>
  <c r="L46" i="21"/>
  <c r="L45" i="21"/>
  <c r="N45" i="21" s="1"/>
  <c r="L43" i="21"/>
  <c r="N43" i="21" s="1"/>
  <c r="N42" i="21"/>
  <c r="L42" i="21"/>
  <c r="L41" i="21"/>
  <c r="N41" i="21" s="1"/>
  <c r="L40" i="21"/>
  <c r="N40" i="21" s="1"/>
  <c r="L39" i="21"/>
  <c r="N39" i="21" s="1"/>
  <c r="N38" i="21"/>
  <c r="L38" i="21"/>
  <c r="N37" i="21"/>
  <c r="L37" i="21"/>
  <c r="N36" i="21"/>
  <c r="L36" i="21"/>
  <c r="L35" i="21"/>
  <c r="N35" i="21" s="1"/>
  <c r="L33" i="21"/>
  <c r="N33" i="21" s="1"/>
  <c r="N32" i="21"/>
  <c r="L32" i="21"/>
  <c r="L31" i="21"/>
  <c r="N31" i="21" s="1"/>
  <c r="L30" i="21"/>
  <c r="N30" i="21" s="1"/>
  <c r="L29" i="21"/>
  <c r="N29" i="21" s="1"/>
  <c r="N28" i="21"/>
  <c r="L28" i="21"/>
  <c r="L27" i="21"/>
  <c r="N27" i="21" s="1"/>
  <c r="N26" i="21"/>
  <c r="L26" i="21"/>
  <c r="L25" i="21"/>
  <c r="N25" i="21" s="1"/>
  <c r="N23" i="21"/>
  <c r="L23" i="21"/>
  <c r="N22" i="21"/>
  <c r="L22" i="21"/>
  <c r="N21" i="21"/>
  <c r="L21" i="21"/>
  <c r="L20" i="21"/>
  <c r="N20" i="21" s="1"/>
  <c r="L19" i="21"/>
  <c r="N19" i="21" s="1"/>
  <c r="N18" i="21"/>
  <c r="L18" i="21"/>
  <c r="N17" i="21"/>
  <c r="L17" i="21"/>
  <c r="L16" i="21"/>
  <c r="N16" i="21" s="1"/>
  <c r="L15" i="21"/>
  <c r="N15" i="21" s="1"/>
  <c r="L13" i="21"/>
  <c r="N13" i="21" s="1"/>
  <c r="L12" i="21"/>
  <c r="N12" i="21" s="1"/>
  <c r="N11" i="21"/>
  <c r="L11" i="21"/>
  <c r="L10" i="21"/>
  <c r="N10" i="21" s="1"/>
  <c r="N9" i="21"/>
  <c r="L9" i="21"/>
  <c r="N8" i="21"/>
  <c r="L8" i="21"/>
  <c r="L7" i="21"/>
  <c r="N7" i="21" s="1"/>
  <c r="N6" i="21"/>
  <c r="L6" i="21"/>
  <c r="L5" i="21"/>
  <c r="N5" i="21" s="1"/>
  <c r="L73" i="20"/>
  <c r="N73" i="20" s="1"/>
  <c r="N72" i="20"/>
  <c r="L72" i="20"/>
  <c r="L71" i="20"/>
  <c r="N71" i="20" s="1"/>
  <c r="L70" i="20"/>
  <c r="N70" i="20" s="1"/>
  <c r="L69" i="20"/>
  <c r="N69" i="20" s="1"/>
  <c r="N68" i="20"/>
  <c r="L68" i="20"/>
  <c r="L67" i="20"/>
  <c r="N67" i="20" s="1"/>
  <c r="N66" i="20"/>
  <c r="L66" i="20"/>
  <c r="L65" i="20"/>
  <c r="N65" i="20" s="1"/>
  <c r="N63" i="20"/>
  <c r="L63" i="20"/>
  <c r="L62" i="20"/>
  <c r="N62" i="20" s="1"/>
  <c r="L61" i="20"/>
  <c r="N61" i="20" s="1"/>
  <c r="N60" i="20"/>
  <c r="L60" i="20"/>
  <c r="L59" i="20"/>
  <c r="N59" i="20" s="1"/>
  <c r="N58" i="20"/>
  <c r="L58" i="20"/>
  <c r="L57" i="20"/>
  <c r="N57" i="20" s="1"/>
  <c r="L56" i="20"/>
  <c r="N56" i="20" s="1"/>
  <c r="N55" i="20"/>
  <c r="L55" i="20"/>
  <c r="N53" i="20"/>
  <c r="L53" i="20"/>
  <c r="L52" i="20"/>
  <c r="N52" i="20" s="1"/>
  <c r="N51" i="20"/>
  <c r="L51" i="20"/>
  <c r="L50" i="20"/>
  <c r="N50" i="20" s="1"/>
  <c r="L49" i="20"/>
  <c r="N49" i="20" s="1"/>
  <c r="L48" i="20"/>
  <c r="N48" i="20" s="1"/>
  <c r="L47" i="20"/>
  <c r="N47" i="20" s="1"/>
  <c r="N46" i="20"/>
  <c r="L46" i="20"/>
  <c r="L45" i="20"/>
  <c r="N45" i="20" s="1"/>
  <c r="N43" i="20"/>
  <c r="L43" i="20"/>
  <c r="L42" i="20"/>
  <c r="N42" i="20" s="1"/>
  <c r="N41" i="20"/>
  <c r="L41" i="20"/>
  <c r="N40" i="20"/>
  <c r="L40" i="20"/>
  <c r="N39" i="20"/>
  <c r="L39" i="20"/>
  <c r="L38" i="20"/>
  <c r="N38" i="20" s="1"/>
  <c r="N37" i="20"/>
  <c r="L37" i="20"/>
  <c r="L36" i="20"/>
  <c r="N36" i="20" s="1"/>
  <c r="N35" i="20"/>
  <c r="L35" i="20"/>
  <c r="L33" i="20"/>
  <c r="N33" i="20" s="1"/>
  <c r="L32" i="20"/>
  <c r="N32" i="20" s="1"/>
  <c r="L31" i="20"/>
  <c r="N31" i="20" s="1"/>
  <c r="L30" i="20"/>
  <c r="N30" i="20" s="1"/>
  <c r="L29" i="20"/>
  <c r="N29" i="20" s="1"/>
  <c r="L28" i="20"/>
  <c r="N28" i="20" s="1"/>
  <c r="L27" i="20"/>
  <c r="N27" i="20" s="1"/>
  <c r="L26" i="20"/>
  <c r="N26" i="20" s="1"/>
  <c r="L25" i="20"/>
  <c r="N25" i="20" s="1"/>
  <c r="L23" i="20"/>
  <c r="N23" i="20" s="1"/>
  <c r="L22" i="20"/>
  <c r="N22" i="20" s="1"/>
  <c r="L21" i="20"/>
  <c r="N21" i="20" s="1"/>
  <c r="L20" i="20"/>
  <c r="N20" i="20" s="1"/>
  <c r="L19" i="20"/>
  <c r="N19" i="20" s="1"/>
  <c r="L18" i="20"/>
  <c r="N18" i="20" s="1"/>
  <c r="L17" i="20"/>
  <c r="N17" i="20" s="1"/>
  <c r="L16" i="20"/>
  <c r="N16" i="20" s="1"/>
  <c r="L15" i="20"/>
  <c r="N15" i="20" s="1"/>
  <c r="L13" i="20"/>
  <c r="N13" i="20" s="1"/>
  <c r="L12" i="20"/>
  <c r="N12" i="20" s="1"/>
  <c r="L11" i="20"/>
  <c r="N11" i="20" s="1"/>
  <c r="L10" i="20"/>
  <c r="N10" i="20" s="1"/>
  <c r="L9" i="20"/>
  <c r="N9" i="20" s="1"/>
  <c r="L8" i="20"/>
  <c r="N8" i="20" s="1"/>
  <c r="L7" i="20"/>
  <c r="N7" i="20" s="1"/>
  <c r="L6" i="20"/>
  <c r="N6" i="20" s="1"/>
  <c r="L5" i="20"/>
  <c r="N5" i="20" s="1"/>
  <c r="L73" i="19"/>
  <c r="N73" i="19" s="1"/>
  <c r="L72" i="19"/>
  <c r="N72" i="19" s="1"/>
  <c r="L71" i="19"/>
  <c r="N71" i="19" s="1"/>
  <c r="L70" i="19"/>
  <c r="N70" i="19" s="1"/>
  <c r="L69" i="19"/>
  <c r="N69" i="19" s="1"/>
  <c r="L68" i="19"/>
  <c r="N68" i="19" s="1"/>
  <c r="L67" i="19"/>
  <c r="N67" i="19" s="1"/>
  <c r="N66" i="19"/>
  <c r="L66" i="19"/>
  <c r="L65" i="19"/>
  <c r="N65" i="19" s="1"/>
  <c r="L63" i="19"/>
  <c r="N63" i="19" s="1"/>
  <c r="N62" i="19"/>
  <c r="L62" i="19"/>
  <c r="L61" i="19"/>
  <c r="N61" i="19" s="1"/>
  <c r="N60" i="19"/>
  <c r="L60" i="19"/>
  <c r="N59" i="19"/>
  <c r="L59" i="19"/>
  <c r="N58" i="19"/>
  <c r="L58" i="19"/>
  <c r="L57" i="19"/>
  <c r="N57" i="19" s="1"/>
  <c r="N56" i="19"/>
  <c r="L56" i="19"/>
  <c r="L55" i="19"/>
  <c r="N55" i="19" s="1"/>
  <c r="N53" i="19"/>
  <c r="L53" i="19"/>
  <c r="N52" i="19"/>
  <c r="L52" i="19"/>
  <c r="N51" i="19"/>
  <c r="L51" i="19"/>
  <c r="L50" i="19"/>
  <c r="N50" i="19" s="1"/>
  <c r="N49" i="19"/>
  <c r="L49" i="19"/>
  <c r="L48" i="19"/>
  <c r="N48" i="19" s="1"/>
  <c r="N47" i="19"/>
  <c r="L47" i="19"/>
  <c r="N46" i="19"/>
  <c r="L46" i="19"/>
  <c r="N45" i="19"/>
  <c r="L45" i="19"/>
  <c r="L43" i="19"/>
  <c r="N43" i="19" s="1"/>
  <c r="N42" i="19"/>
  <c r="L42" i="19"/>
  <c r="L41" i="19"/>
  <c r="N41" i="19" s="1"/>
  <c r="N40" i="19"/>
  <c r="L40" i="19"/>
  <c r="N39" i="19"/>
  <c r="L39" i="19"/>
  <c r="N38" i="19"/>
  <c r="L38" i="19"/>
  <c r="L37" i="19"/>
  <c r="N37" i="19" s="1"/>
  <c r="N36" i="19"/>
  <c r="L36" i="19"/>
  <c r="L35" i="19"/>
  <c r="N35" i="19" s="1"/>
  <c r="N33" i="19"/>
  <c r="L33" i="19"/>
  <c r="N32" i="19"/>
  <c r="L32" i="19"/>
  <c r="N31" i="19"/>
  <c r="L31" i="19"/>
  <c r="L30" i="19"/>
  <c r="N30" i="19" s="1"/>
  <c r="N29" i="19"/>
  <c r="L29" i="19"/>
  <c r="L28" i="19"/>
  <c r="N28" i="19" s="1"/>
  <c r="N27" i="19"/>
  <c r="L27" i="19"/>
  <c r="N26" i="19"/>
  <c r="L26" i="19"/>
  <c r="N25" i="19"/>
  <c r="L25" i="19"/>
  <c r="L23" i="19"/>
  <c r="N23" i="19" s="1"/>
  <c r="N22" i="19"/>
  <c r="L22" i="19"/>
  <c r="L21" i="19"/>
  <c r="N21" i="19" s="1"/>
  <c r="N20" i="19"/>
  <c r="L20" i="19"/>
  <c r="N19" i="19"/>
  <c r="L19" i="19"/>
  <c r="N18" i="19"/>
  <c r="L18" i="19"/>
  <c r="L17" i="19"/>
  <c r="N17" i="19" s="1"/>
  <c r="N16" i="19"/>
  <c r="L16" i="19"/>
  <c r="L15" i="19"/>
  <c r="N15" i="19" s="1"/>
  <c r="N13" i="19"/>
  <c r="L13" i="19"/>
  <c r="N12" i="19"/>
  <c r="L12" i="19"/>
  <c r="N11" i="19"/>
  <c r="L11" i="19"/>
  <c r="L10" i="19"/>
  <c r="N10" i="19" s="1"/>
  <c r="N9" i="19"/>
  <c r="L9" i="19"/>
  <c r="L8" i="19"/>
  <c r="N8" i="19" s="1"/>
  <c r="N7" i="19"/>
  <c r="L7" i="19"/>
  <c r="N6" i="19"/>
  <c r="L6" i="19"/>
  <c r="N5" i="19"/>
  <c r="L5" i="19"/>
  <c r="N73" i="18"/>
  <c r="L73" i="18"/>
  <c r="L72" i="18"/>
  <c r="N72" i="18" s="1"/>
  <c r="N71" i="18"/>
  <c r="L71" i="18"/>
  <c r="L70" i="18"/>
  <c r="N70" i="18" s="1"/>
  <c r="N69" i="18"/>
  <c r="L69" i="18"/>
  <c r="N68" i="18"/>
  <c r="L68" i="18"/>
  <c r="N67" i="18"/>
  <c r="L67" i="18"/>
  <c r="L66" i="18"/>
  <c r="N66" i="18" s="1"/>
  <c r="N65" i="18"/>
  <c r="L65" i="18"/>
  <c r="L63" i="18"/>
  <c r="N63" i="18" s="1"/>
  <c r="N62" i="18"/>
  <c r="L62" i="18"/>
  <c r="N61" i="18"/>
  <c r="L61" i="18"/>
  <c r="N60" i="18"/>
  <c r="L60" i="18"/>
  <c r="L59" i="18"/>
  <c r="N59" i="18" s="1"/>
  <c r="N58" i="18"/>
  <c r="L58" i="18"/>
  <c r="L57" i="18"/>
  <c r="N57" i="18" s="1"/>
  <c r="N56" i="18"/>
  <c r="L56" i="18"/>
  <c r="N55" i="18"/>
  <c r="L55" i="18"/>
  <c r="N53" i="18"/>
  <c r="L53" i="18"/>
  <c r="L52" i="18"/>
  <c r="N52" i="18" s="1"/>
  <c r="N51" i="18"/>
  <c r="L51" i="18"/>
  <c r="L50" i="18"/>
  <c r="N50" i="18" s="1"/>
  <c r="N49" i="18"/>
  <c r="L49" i="18"/>
  <c r="N48" i="18"/>
  <c r="L48" i="18"/>
  <c r="N47" i="18"/>
  <c r="L47" i="18"/>
  <c r="L46" i="18"/>
  <c r="N46" i="18" s="1"/>
  <c r="N45" i="18"/>
  <c r="L45" i="18"/>
  <c r="L43" i="18"/>
  <c r="N43" i="18" s="1"/>
  <c r="N42" i="18"/>
  <c r="L42" i="18"/>
  <c r="N41" i="18"/>
  <c r="L41" i="18"/>
  <c r="N40" i="18"/>
  <c r="L40" i="18"/>
  <c r="L39" i="18"/>
  <c r="N39" i="18" s="1"/>
  <c r="N38" i="18"/>
  <c r="L38" i="18"/>
  <c r="L37" i="18"/>
  <c r="N37" i="18" s="1"/>
  <c r="N36" i="18"/>
  <c r="L36" i="18"/>
  <c r="N35" i="18"/>
  <c r="L35" i="18"/>
  <c r="N33" i="18"/>
  <c r="L33" i="18"/>
  <c r="L32" i="18"/>
  <c r="N32" i="18" s="1"/>
  <c r="N31" i="18"/>
  <c r="L31" i="18"/>
  <c r="L30" i="18"/>
  <c r="N30" i="18" s="1"/>
  <c r="N29" i="18"/>
  <c r="L29" i="18"/>
  <c r="N28" i="18"/>
  <c r="L28" i="18"/>
  <c r="N27" i="18"/>
  <c r="L27" i="18"/>
  <c r="L26" i="18"/>
  <c r="N26" i="18" s="1"/>
  <c r="N25" i="18"/>
  <c r="L25" i="18"/>
  <c r="L23" i="18"/>
  <c r="N23" i="18" s="1"/>
  <c r="N22" i="18"/>
  <c r="L22" i="18"/>
  <c r="N21" i="18"/>
  <c r="L21" i="18"/>
  <c r="N20" i="18"/>
  <c r="L20" i="18"/>
  <c r="L19" i="18"/>
  <c r="N19" i="18" s="1"/>
  <c r="N18" i="18"/>
  <c r="L18" i="18"/>
  <c r="L17" i="18"/>
  <c r="N17" i="18" s="1"/>
  <c r="N16" i="18"/>
  <c r="L16" i="18"/>
  <c r="N15" i="18"/>
  <c r="L15" i="18"/>
  <c r="N13" i="18"/>
  <c r="L13" i="18"/>
  <c r="L12" i="18"/>
  <c r="N12" i="18" s="1"/>
  <c r="N11" i="18"/>
  <c r="L11" i="18"/>
  <c r="L10" i="18"/>
  <c r="N10" i="18" s="1"/>
  <c r="N9" i="18"/>
  <c r="L9" i="18"/>
  <c r="N8" i="18"/>
  <c r="L8" i="18"/>
  <c r="N7" i="18"/>
  <c r="L7" i="18"/>
  <c r="L6" i="18"/>
  <c r="N6" i="18" s="1"/>
  <c r="N5" i="18"/>
  <c r="L5" i="18"/>
  <c r="N73" i="17"/>
  <c r="L73" i="17"/>
  <c r="L72" i="17"/>
  <c r="N72" i="17" s="1"/>
  <c r="L71" i="17"/>
  <c r="N71" i="17" s="1"/>
  <c r="N70" i="17"/>
  <c r="L70" i="17"/>
  <c r="N69" i="17"/>
  <c r="L69" i="17"/>
  <c r="L68" i="17"/>
  <c r="N68" i="17" s="1"/>
  <c r="N67" i="17"/>
  <c r="L67" i="17"/>
  <c r="L66" i="17"/>
  <c r="N66" i="17" s="1"/>
  <c r="N65" i="17"/>
  <c r="L65" i="17"/>
  <c r="L63" i="17"/>
  <c r="N63" i="17" s="1"/>
  <c r="L62" i="17"/>
  <c r="N62" i="17" s="1"/>
  <c r="L61" i="17"/>
  <c r="N61" i="17" s="1"/>
  <c r="N60" i="17"/>
  <c r="L60" i="17"/>
  <c r="L59" i="17"/>
  <c r="N59" i="17" s="1"/>
  <c r="N58" i="17"/>
  <c r="L58" i="17"/>
  <c r="L57" i="17"/>
  <c r="N57" i="17" s="1"/>
  <c r="N56" i="17"/>
  <c r="L56" i="17"/>
  <c r="L55" i="17"/>
  <c r="N55" i="17" s="1"/>
  <c r="N53" i="17"/>
  <c r="L53" i="17"/>
  <c r="L52" i="17"/>
  <c r="N52" i="17" s="1"/>
  <c r="L51" i="17"/>
  <c r="N51" i="17" s="1"/>
  <c r="N50" i="17"/>
  <c r="L50" i="17"/>
  <c r="N49" i="17"/>
  <c r="L49" i="17"/>
  <c r="L48" i="17"/>
  <c r="N48" i="17" s="1"/>
  <c r="N47" i="17"/>
  <c r="L47" i="17"/>
  <c r="L46" i="17"/>
  <c r="N46" i="17" s="1"/>
  <c r="L45" i="17"/>
  <c r="N45" i="17" s="1"/>
  <c r="N43" i="17"/>
  <c r="L43" i="17"/>
  <c r="N42" i="17"/>
  <c r="L42" i="17"/>
  <c r="L41" i="17"/>
  <c r="N41" i="17" s="1"/>
  <c r="N40" i="17"/>
  <c r="L40" i="17"/>
  <c r="L39" i="17"/>
  <c r="N39" i="17" s="1"/>
  <c r="L38" i="17"/>
  <c r="N38" i="17" s="1"/>
  <c r="N37" i="17"/>
  <c r="L37" i="17"/>
  <c r="N36" i="17"/>
  <c r="L36" i="17"/>
  <c r="L35" i="17"/>
  <c r="N35" i="17" s="1"/>
  <c r="N33" i="17"/>
  <c r="L33" i="17"/>
  <c r="L32" i="17"/>
  <c r="N32" i="17" s="1"/>
  <c r="L31" i="17"/>
  <c r="N31" i="17" s="1"/>
  <c r="N30" i="17"/>
  <c r="L30" i="17"/>
  <c r="N29" i="17"/>
  <c r="L29" i="17"/>
  <c r="L28" i="17"/>
  <c r="N28" i="17" s="1"/>
  <c r="N27" i="17"/>
  <c r="L27" i="17"/>
  <c r="L26" i="17"/>
  <c r="N26" i="17" s="1"/>
  <c r="N25" i="17"/>
  <c r="L25" i="17"/>
  <c r="N23" i="17"/>
  <c r="L23" i="17"/>
  <c r="N22" i="17"/>
  <c r="L22" i="17"/>
  <c r="L21" i="17"/>
  <c r="N21" i="17" s="1"/>
  <c r="N20" i="17"/>
  <c r="L20" i="17"/>
  <c r="L19" i="17"/>
  <c r="N19" i="17" s="1"/>
  <c r="N18" i="17"/>
  <c r="L18" i="17"/>
  <c r="N17" i="17"/>
  <c r="L17" i="17"/>
  <c r="N16" i="17"/>
  <c r="L16" i="17"/>
  <c r="L15" i="17"/>
  <c r="N15" i="17" s="1"/>
  <c r="N13" i="17"/>
  <c r="L13" i="17"/>
  <c r="L12" i="17"/>
  <c r="N12" i="17" s="1"/>
  <c r="L11" i="17"/>
  <c r="N11" i="17" s="1"/>
  <c r="N10" i="17"/>
  <c r="L10" i="17"/>
  <c r="N9" i="17"/>
  <c r="L9" i="17"/>
  <c r="L8" i="17"/>
  <c r="N8" i="17" s="1"/>
  <c r="N7" i="17"/>
  <c r="L7" i="17"/>
  <c r="L6" i="17"/>
  <c r="N6" i="17" s="1"/>
  <c r="L5" i="17"/>
  <c r="N5" i="17" s="1"/>
  <c r="L73" i="16"/>
  <c r="N73" i="16" s="1"/>
  <c r="L72" i="16"/>
  <c r="N72" i="16" s="1"/>
  <c r="N71" i="16"/>
  <c r="L71" i="16"/>
  <c r="L70" i="16"/>
  <c r="N70" i="16" s="1"/>
  <c r="N69" i="16"/>
  <c r="L69" i="16"/>
  <c r="L68" i="16"/>
  <c r="N68" i="16" s="1"/>
  <c r="L67" i="16"/>
  <c r="N67" i="16" s="1"/>
  <c r="L66" i="16"/>
  <c r="N66" i="16" s="1"/>
  <c r="L65" i="16"/>
  <c r="N65" i="16" s="1"/>
  <c r="L63" i="16"/>
  <c r="N63" i="16" s="1"/>
  <c r="N62" i="16"/>
  <c r="L62" i="16"/>
  <c r="L61" i="16"/>
  <c r="N61" i="16" s="1"/>
  <c r="L60" i="16"/>
  <c r="N60" i="16" s="1"/>
  <c r="L59" i="16"/>
  <c r="N59" i="16" s="1"/>
  <c r="L58" i="16"/>
  <c r="N58" i="16" s="1"/>
  <c r="L57" i="16"/>
  <c r="N57" i="16" s="1"/>
  <c r="N56" i="16"/>
  <c r="L56" i="16"/>
  <c r="L55" i="16"/>
  <c r="N55" i="16" s="1"/>
  <c r="N53" i="16"/>
  <c r="L53" i="16"/>
  <c r="L52" i="16"/>
  <c r="N52" i="16" s="1"/>
  <c r="L51" i="16"/>
  <c r="N51" i="16" s="1"/>
  <c r="L50" i="16"/>
  <c r="N50" i="16" s="1"/>
  <c r="N49" i="16"/>
  <c r="L49" i="16"/>
  <c r="L48" i="16"/>
  <c r="N48" i="16" s="1"/>
  <c r="N47" i="16"/>
  <c r="L47" i="16"/>
  <c r="N46" i="16"/>
  <c r="L46" i="16"/>
  <c r="L45" i="16"/>
  <c r="N45" i="16" s="1"/>
  <c r="L43" i="16"/>
  <c r="N43" i="16" s="1"/>
  <c r="N42" i="16"/>
  <c r="L42" i="16"/>
  <c r="L41" i="16"/>
  <c r="N41" i="16" s="1"/>
  <c r="L40" i="16"/>
  <c r="N40" i="16" s="1"/>
  <c r="N39" i="16"/>
  <c r="L39" i="16"/>
  <c r="N38" i="16"/>
  <c r="L38" i="16"/>
  <c r="L37" i="16"/>
  <c r="N37" i="16" s="1"/>
  <c r="N36" i="16"/>
  <c r="L36" i="16"/>
  <c r="L35" i="16"/>
  <c r="N35" i="16" s="1"/>
  <c r="L33" i="16"/>
  <c r="N33" i="16" s="1"/>
  <c r="L32" i="16"/>
  <c r="N32" i="16" s="1"/>
  <c r="N31" i="16"/>
  <c r="L31" i="16"/>
  <c r="L30" i="16"/>
  <c r="N30" i="16" s="1"/>
  <c r="N29" i="16"/>
  <c r="L29" i="16"/>
  <c r="L28" i="16"/>
  <c r="N28" i="16" s="1"/>
  <c r="L27" i="16"/>
  <c r="N27" i="16" s="1"/>
  <c r="L26" i="16"/>
  <c r="N26" i="16" s="1"/>
  <c r="L25" i="16"/>
  <c r="N25" i="16" s="1"/>
  <c r="L23" i="16"/>
  <c r="N23" i="16" s="1"/>
  <c r="N22" i="16"/>
  <c r="L22" i="16"/>
  <c r="L21" i="16"/>
  <c r="N21" i="16" s="1"/>
  <c r="L20" i="16"/>
  <c r="N20" i="16" s="1"/>
  <c r="L19" i="16"/>
  <c r="N19" i="16" s="1"/>
  <c r="L18" i="16"/>
  <c r="N18" i="16" s="1"/>
  <c r="L17" i="16"/>
  <c r="N17" i="16" s="1"/>
  <c r="N16" i="16"/>
  <c r="L16" i="16"/>
  <c r="L15" i="16"/>
  <c r="N15" i="16" s="1"/>
  <c r="N13" i="16"/>
  <c r="L13" i="16"/>
  <c r="L12" i="16"/>
  <c r="N12" i="16" s="1"/>
  <c r="L11" i="16"/>
  <c r="N11" i="16" s="1"/>
  <c r="L10" i="16"/>
  <c r="N10" i="16" s="1"/>
  <c r="N9" i="16"/>
  <c r="L9" i="16"/>
  <c r="L8" i="16"/>
  <c r="N8" i="16" s="1"/>
  <c r="N7" i="16"/>
  <c r="L7" i="16"/>
  <c r="N6" i="16"/>
  <c r="L6" i="16"/>
  <c r="L5" i="16"/>
  <c r="N5" i="16" s="1"/>
  <c r="L73" i="15"/>
  <c r="N73" i="15" s="1"/>
  <c r="L72" i="15"/>
  <c r="N72" i="15" s="1"/>
  <c r="N71" i="15"/>
  <c r="L71" i="15"/>
  <c r="L70" i="15"/>
  <c r="N70" i="15" s="1"/>
  <c r="L69" i="15"/>
  <c r="N69" i="15" s="1"/>
  <c r="N68" i="15"/>
  <c r="L68" i="15"/>
  <c r="N67" i="15"/>
  <c r="L67" i="15"/>
  <c r="L66" i="15"/>
  <c r="N66" i="15" s="1"/>
  <c r="N65" i="15"/>
  <c r="L65" i="15"/>
  <c r="L63" i="15"/>
  <c r="N63" i="15" s="1"/>
  <c r="L62" i="15"/>
  <c r="N62" i="15" s="1"/>
  <c r="L61" i="15"/>
  <c r="N61" i="15" s="1"/>
  <c r="N60" i="15"/>
  <c r="L60" i="15"/>
  <c r="L59" i="15"/>
  <c r="N59" i="15" s="1"/>
  <c r="L58" i="15"/>
  <c r="N58" i="15" s="1"/>
  <c r="L57" i="15"/>
  <c r="N57" i="15" s="1"/>
  <c r="L56" i="15"/>
  <c r="N56" i="15" s="1"/>
  <c r="L55" i="15"/>
  <c r="N55" i="15" s="1"/>
  <c r="L53" i="15"/>
  <c r="N53" i="15" s="1"/>
  <c r="L52" i="15"/>
  <c r="N52" i="15" s="1"/>
  <c r="L51" i="15"/>
  <c r="N51" i="15" s="1"/>
  <c r="L50" i="15"/>
  <c r="N50" i="15" s="1"/>
  <c r="L49" i="15"/>
  <c r="N49" i="15" s="1"/>
  <c r="L48" i="15"/>
  <c r="N48" i="15" s="1"/>
  <c r="L47" i="15"/>
  <c r="N47" i="15" s="1"/>
  <c r="L46" i="15"/>
  <c r="N46" i="15" s="1"/>
  <c r="N45" i="15"/>
  <c r="L45" i="15"/>
  <c r="L43" i="15"/>
  <c r="N43" i="15" s="1"/>
  <c r="N42" i="15"/>
  <c r="L42" i="15"/>
  <c r="L41" i="15"/>
  <c r="N41" i="15" s="1"/>
  <c r="L40" i="15"/>
  <c r="N40" i="15" s="1"/>
  <c r="L39" i="15"/>
  <c r="N39" i="15" s="1"/>
  <c r="N38" i="15"/>
  <c r="L38" i="15"/>
  <c r="L37" i="15"/>
  <c r="N37" i="15" s="1"/>
  <c r="N36" i="15"/>
  <c r="L36" i="15"/>
  <c r="N35" i="15"/>
  <c r="L35" i="15"/>
  <c r="L33" i="15"/>
  <c r="N33" i="15" s="1"/>
  <c r="L32" i="15"/>
  <c r="N32" i="15" s="1"/>
  <c r="N31" i="15"/>
  <c r="L31" i="15"/>
  <c r="L30" i="15"/>
  <c r="N30" i="15" s="1"/>
  <c r="L29" i="15"/>
  <c r="N29" i="15" s="1"/>
  <c r="N28" i="15"/>
  <c r="L28" i="15"/>
  <c r="N27" i="15"/>
  <c r="L27" i="15"/>
  <c r="L26" i="15"/>
  <c r="N26" i="15" s="1"/>
  <c r="N25" i="15"/>
  <c r="L25" i="15"/>
  <c r="L23" i="15"/>
  <c r="N23" i="15" s="1"/>
  <c r="L22" i="15"/>
  <c r="N22" i="15" s="1"/>
  <c r="L21" i="15"/>
  <c r="N21" i="15" s="1"/>
  <c r="N20" i="15"/>
  <c r="L20" i="15"/>
  <c r="L19" i="15"/>
  <c r="N19" i="15" s="1"/>
  <c r="L18" i="15"/>
  <c r="N18" i="15" s="1"/>
  <c r="L17" i="15"/>
  <c r="N17" i="15" s="1"/>
  <c r="L16" i="15"/>
  <c r="N16" i="15" s="1"/>
  <c r="L15" i="15"/>
  <c r="N15" i="15" s="1"/>
  <c r="L13" i="15"/>
  <c r="N13" i="15" s="1"/>
  <c r="L12" i="15"/>
  <c r="N12" i="15" s="1"/>
  <c r="L11" i="15"/>
  <c r="N11" i="15" s="1"/>
  <c r="L10" i="15"/>
  <c r="N10" i="15" s="1"/>
  <c r="L9" i="15"/>
  <c r="N9" i="15" s="1"/>
  <c r="L8" i="15"/>
  <c r="N8" i="15" s="1"/>
  <c r="L7" i="15"/>
  <c r="N7" i="15" s="1"/>
  <c r="L6" i="15"/>
  <c r="N6" i="15" s="1"/>
  <c r="N5" i="15"/>
  <c r="L5" i="15"/>
  <c r="N73" i="14"/>
  <c r="L73" i="14"/>
  <c r="L72" i="14"/>
  <c r="N72" i="14" s="1"/>
  <c r="N71" i="14"/>
  <c r="L71" i="14"/>
  <c r="L70" i="14"/>
  <c r="N70" i="14" s="1"/>
  <c r="L69" i="14"/>
  <c r="N69" i="14" s="1"/>
  <c r="L68" i="14"/>
  <c r="N68" i="14" s="1"/>
  <c r="N67" i="14"/>
  <c r="L67" i="14"/>
  <c r="L66" i="14"/>
  <c r="N66" i="14" s="1"/>
  <c r="N65" i="14"/>
  <c r="L65" i="14"/>
  <c r="N63" i="14"/>
  <c r="L63" i="14"/>
  <c r="L62" i="14"/>
  <c r="N62" i="14" s="1"/>
  <c r="L61" i="14"/>
  <c r="N61" i="14" s="1"/>
  <c r="N60" i="14"/>
  <c r="L60" i="14"/>
  <c r="L59" i="14"/>
  <c r="N59" i="14" s="1"/>
  <c r="L58" i="14"/>
  <c r="N58" i="14" s="1"/>
  <c r="N57" i="14"/>
  <c r="L57" i="14"/>
  <c r="N56" i="14"/>
  <c r="L56" i="14"/>
  <c r="L55" i="14"/>
  <c r="N55" i="14" s="1"/>
  <c r="N53" i="14"/>
  <c r="L53" i="14"/>
  <c r="L52" i="14"/>
  <c r="N52" i="14" s="1"/>
  <c r="L51" i="14"/>
  <c r="N51" i="14" s="1"/>
  <c r="L50" i="14"/>
  <c r="N50" i="14" s="1"/>
  <c r="N49" i="14"/>
  <c r="L49" i="14"/>
  <c r="L48" i="14"/>
  <c r="N48" i="14" s="1"/>
  <c r="L47" i="14"/>
  <c r="N47" i="14" s="1"/>
  <c r="L46" i="14"/>
  <c r="N46" i="14" s="1"/>
  <c r="L45" i="14"/>
  <c r="N45" i="14" s="1"/>
  <c r="L43" i="14"/>
  <c r="N43" i="14" s="1"/>
  <c r="L42" i="14"/>
  <c r="N42" i="14" s="1"/>
  <c r="L41" i="14"/>
  <c r="N41" i="14" s="1"/>
  <c r="L40" i="14"/>
  <c r="N40" i="14" s="1"/>
  <c r="L39" i="14"/>
  <c r="N39" i="14" s="1"/>
  <c r="L38" i="14"/>
  <c r="N38" i="14" s="1"/>
  <c r="L37" i="14"/>
  <c r="N37" i="14" s="1"/>
  <c r="L36" i="14"/>
  <c r="N36" i="14" s="1"/>
  <c r="L35" i="14"/>
  <c r="N35" i="14" s="1"/>
  <c r="N33" i="14"/>
  <c r="L33" i="14"/>
  <c r="L32" i="14"/>
  <c r="N32" i="14" s="1"/>
  <c r="N31" i="14"/>
  <c r="L31" i="14"/>
  <c r="L30" i="14"/>
  <c r="N30" i="14" s="1"/>
  <c r="L29" i="14"/>
  <c r="N29" i="14" s="1"/>
  <c r="L28" i="14"/>
  <c r="N28" i="14" s="1"/>
  <c r="N27" i="14"/>
  <c r="L27" i="14"/>
  <c r="L26" i="14"/>
  <c r="N26" i="14" s="1"/>
  <c r="N25" i="14"/>
  <c r="L25" i="14"/>
  <c r="N23" i="14"/>
  <c r="L23" i="14"/>
  <c r="L22" i="14"/>
  <c r="N22" i="14" s="1"/>
  <c r="L21" i="14"/>
  <c r="N21" i="14" s="1"/>
  <c r="N20" i="14"/>
  <c r="L20" i="14"/>
  <c r="L19" i="14"/>
  <c r="N19" i="14" s="1"/>
  <c r="L18" i="14"/>
  <c r="N18" i="14" s="1"/>
  <c r="N17" i="14"/>
  <c r="L17" i="14"/>
  <c r="N16" i="14"/>
  <c r="L16" i="14"/>
  <c r="L15" i="14"/>
  <c r="N15" i="14" s="1"/>
  <c r="N13" i="14"/>
  <c r="L13" i="14"/>
  <c r="L12" i="14"/>
  <c r="N12" i="14" s="1"/>
  <c r="L11" i="14"/>
  <c r="N11" i="14" s="1"/>
  <c r="L10" i="14"/>
  <c r="N10" i="14" s="1"/>
  <c r="N9" i="14"/>
  <c r="L9" i="14"/>
  <c r="L8" i="14"/>
  <c r="N8" i="14" s="1"/>
  <c r="L7" i="14"/>
  <c r="N7" i="14" s="1"/>
  <c r="L6" i="14"/>
  <c r="N6" i="14" s="1"/>
  <c r="L5" i="14"/>
  <c r="N5" i="14" s="1"/>
  <c r="L73" i="13"/>
  <c r="N73" i="13" s="1"/>
  <c r="L72" i="13"/>
  <c r="N72" i="13" s="1"/>
  <c r="L71" i="13"/>
  <c r="N71" i="13" s="1"/>
  <c r="L70" i="13"/>
  <c r="N70" i="13" s="1"/>
  <c r="L69" i="13"/>
  <c r="N69" i="13" s="1"/>
  <c r="L68" i="13"/>
  <c r="N68" i="13" s="1"/>
  <c r="L67" i="13"/>
  <c r="N67" i="13" s="1"/>
  <c r="L66" i="13"/>
  <c r="N66" i="13" s="1"/>
  <c r="L65" i="13"/>
  <c r="N65" i="13" s="1"/>
  <c r="L63" i="13"/>
  <c r="N63" i="13" s="1"/>
  <c r="N62" i="13"/>
  <c r="L62" i="13"/>
  <c r="L61" i="13"/>
  <c r="N61" i="13" s="1"/>
  <c r="N60" i="13"/>
  <c r="L60" i="13"/>
  <c r="L59" i="13"/>
  <c r="N59" i="13" s="1"/>
  <c r="L58" i="13"/>
  <c r="N58" i="13" s="1"/>
  <c r="L57" i="13"/>
  <c r="N57" i="13" s="1"/>
  <c r="N56" i="13"/>
  <c r="L56" i="13"/>
  <c r="L55" i="13"/>
  <c r="N55" i="13" s="1"/>
  <c r="L53" i="13"/>
  <c r="N53" i="13" s="1"/>
  <c r="L52" i="13"/>
  <c r="N52" i="13" s="1"/>
  <c r="L51" i="13"/>
  <c r="N51" i="13" s="1"/>
  <c r="L50" i="13"/>
  <c r="N50" i="13" s="1"/>
  <c r="N49" i="13"/>
  <c r="L49" i="13"/>
  <c r="L48" i="13"/>
  <c r="N48" i="13" s="1"/>
  <c r="L47" i="13"/>
  <c r="N47" i="13" s="1"/>
  <c r="N46" i="13"/>
  <c r="L46" i="13"/>
  <c r="L45" i="13"/>
  <c r="N45" i="13" s="1"/>
  <c r="L43" i="13"/>
  <c r="N43" i="13" s="1"/>
  <c r="N42" i="13"/>
  <c r="L42" i="13"/>
  <c r="N41" i="13"/>
  <c r="L41" i="13"/>
  <c r="L40" i="13"/>
  <c r="N40" i="13" s="1"/>
  <c r="L39" i="13"/>
  <c r="N39" i="13" s="1"/>
  <c r="L38" i="13"/>
  <c r="N38" i="13" s="1"/>
  <c r="L37" i="13"/>
  <c r="N37" i="13" s="1"/>
  <c r="L36" i="13"/>
  <c r="N36" i="13" s="1"/>
  <c r="L35" i="13"/>
  <c r="N35" i="13" s="1"/>
  <c r="L33" i="13"/>
  <c r="N33" i="13" s="1"/>
  <c r="L32" i="13"/>
  <c r="N32" i="13" s="1"/>
  <c r="L31" i="13"/>
  <c r="N31" i="13" s="1"/>
  <c r="L30" i="13"/>
  <c r="N30" i="13" s="1"/>
  <c r="L29" i="13"/>
  <c r="N29" i="13" s="1"/>
  <c r="L28" i="13"/>
  <c r="N28" i="13" s="1"/>
  <c r="L27" i="13"/>
  <c r="N27" i="13" s="1"/>
  <c r="L26" i="13"/>
  <c r="N26" i="13" s="1"/>
  <c r="L25" i="13"/>
  <c r="N25" i="13" s="1"/>
  <c r="L23" i="13"/>
  <c r="N23" i="13" s="1"/>
  <c r="L22" i="13"/>
  <c r="N22" i="13" s="1"/>
  <c r="L21" i="13"/>
  <c r="N21" i="13" s="1"/>
  <c r="L20" i="13"/>
  <c r="N20" i="13" s="1"/>
  <c r="L19" i="13"/>
  <c r="N19" i="13" s="1"/>
  <c r="L18" i="13"/>
  <c r="N18" i="13" s="1"/>
  <c r="L17" i="13"/>
  <c r="N17" i="13" s="1"/>
  <c r="L16" i="13"/>
  <c r="N16" i="13" s="1"/>
  <c r="L15" i="13"/>
  <c r="N15" i="13" s="1"/>
  <c r="L13" i="13"/>
  <c r="N13" i="13" s="1"/>
  <c r="N12" i="13"/>
  <c r="L12" i="13"/>
  <c r="L11" i="13"/>
  <c r="N11" i="13" s="1"/>
  <c r="L10" i="13"/>
  <c r="N10" i="13" s="1"/>
  <c r="L9" i="13"/>
  <c r="N9" i="13" s="1"/>
  <c r="N8" i="13"/>
  <c r="L8" i="13"/>
  <c r="L7" i="13"/>
  <c r="N7" i="13" s="1"/>
  <c r="L6" i="13"/>
  <c r="N6" i="13" s="1"/>
  <c r="L5" i="13"/>
  <c r="N5" i="13" s="1"/>
  <c r="L73" i="12"/>
  <c r="N73" i="12" s="1"/>
  <c r="L72" i="12"/>
  <c r="N72" i="12" s="1"/>
  <c r="N71" i="12"/>
  <c r="L71" i="12"/>
  <c r="L70" i="12"/>
  <c r="N70" i="12" s="1"/>
  <c r="N69" i="12"/>
  <c r="L69" i="12"/>
  <c r="N68" i="12"/>
  <c r="L68" i="12"/>
  <c r="N67" i="12"/>
  <c r="L67" i="12"/>
  <c r="L66" i="12"/>
  <c r="N66" i="12" s="1"/>
  <c r="L65" i="12"/>
  <c r="N65" i="12" s="1"/>
  <c r="N63" i="12"/>
  <c r="L63" i="12"/>
  <c r="N62" i="12"/>
  <c r="L62" i="12"/>
  <c r="L61" i="12"/>
  <c r="N61" i="12" s="1"/>
  <c r="L60" i="12"/>
  <c r="N60" i="12" s="1"/>
  <c r="L59" i="12"/>
  <c r="N59" i="12" s="1"/>
  <c r="N58" i="12"/>
  <c r="L58" i="12"/>
  <c r="N57" i="12"/>
  <c r="L57" i="12"/>
  <c r="L56" i="12"/>
  <c r="N56" i="12" s="1"/>
  <c r="N55" i="12"/>
  <c r="L55" i="12"/>
  <c r="N53" i="12"/>
  <c r="L53" i="12"/>
  <c r="L52" i="12"/>
  <c r="N52" i="12" s="1"/>
  <c r="L51" i="12"/>
  <c r="N51" i="12" s="1"/>
  <c r="L50" i="12"/>
  <c r="N50" i="12" s="1"/>
  <c r="N49" i="12"/>
  <c r="L49" i="12"/>
  <c r="N48" i="12"/>
  <c r="L48" i="12"/>
  <c r="L47" i="12"/>
  <c r="N47" i="12" s="1"/>
  <c r="L46" i="12"/>
  <c r="N46" i="12" s="1"/>
  <c r="N45" i="12"/>
  <c r="L45" i="12"/>
  <c r="N43" i="12"/>
  <c r="L43" i="12"/>
  <c r="N42" i="12"/>
  <c r="L42" i="12"/>
  <c r="L41" i="12"/>
  <c r="N41" i="12" s="1"/>
  <c r="N40" i="12"/>
  <c r="L40" i="12"/>
  <c r="L39" i="12"/>
  <c r="N39" i="12" s="1"/>
  <c r="L38" i="12"/>
  <c r="N38" i="12" s="1"/>
  <c r="L37" i="12"/>
  <c r="N37" i="12" s="1"/>
  <c r="L36" i="12"/>
  <c r="N36" i="12" s="1"/>
  <c r="N35" i="12"/>
  <c r="L35" i="12"/>
  <c r="L33" i="12"/>
  <c r="N33" i="12" s="1"/>
  <c r="L32" i="12"/>
  <c r="N32" i="12" s="1"/>
  <c r="L31" i="12"/>
  <c r="N31" i="12" s="1"/>
  <c r="L30" i="12"/>
  <c r="N30" i="12" s="1"/>
  <c r="L29" i="12"/>
  <c r="N29" i="12" s="1"/>
  <c r="L28" i="12"/>
  <c r="N28" i="12" s="1"/>
  <c r="L27" i="12"/>
  <c r="N27" i="12" s="1"/>
  <c r="L26" i="12"/>
  <c r="N26" i="12" s="1"/>
  <c r="L25" i="12"/>
  <c r="N25" i="12" s="1"/>
  <c r="L23" i="12"/>
  <c r="N23" i="12" s="1"/>
  <c r="L22" i="12"/>
  <c r="N22" i="12" s="1"/>
  <c r="L21" i="12"/>
  <c r="N21" i="12" s="1"/>
  <c r="L20" i="12"/>
  <c r="N20" i="12" s="1"/>
  <c r="L19" i="12"/>
  <c r="N19" i="12" s="1"/>
  <c r="L18" i="12"/>
  <c r="N18" i="12" s="1"/>
  <c r="L17" i="12"/>
  <c r="N17" i="12" s="1"/>
  <c r="L16" i="12"/>
  <c r="N16" i="12" s="1"/>
  <c r="L15" i="12"/>
  <c r="N15" i="12" s="1"/>
  <c r="N13" i="12"/>
  <c r="L13" i="12"/>
  <c r="L12" i="12"/>
  <c r="N12" i="12" s="1"/>
  <c r="N11" i="12"/>
  <c r="L11" i="12"/>
  <c r="L10" i="12"/>
  <c r="N10" i="12" s="1"/>
  <c r="L9" i="12"/>
  <c r="N9" i="12" s="1"/>
  <c r="L8" i="12"/>
  <c r="N8" i="12" s="1"/>
  <c r="L7" i="12"/>
  <c r="N7" i="12" s="1"/>
  <c r="L6" i="12"/>
  <c r="N6" i="12" s="1"/>
  <c r="L5" i="12"/>
  <c r="N5" i="12" s="1"/>
  <c r="L73" i="11"/>
  <c r="N73" i="11" s="1"/>
  <c r="N72" i="11"/>
  <c r="L72" i="11"/>
  <c r="N71" i="11"/>
  <c r="L71" i="11"/>
  <c r="N70" i="11"/>
  <c r="L70" i="11"/>
  <c r="N69" i="11"/>
  <c r="L69" i="11"/>
  <c r="N68" i="11"/>
  <c r="L68" i="11"/>
  <c r="L67" i="11"/>
  <c r="N67" i="11" s="1"/>
  <c r="N66" i="11"/>
  <c r="L66" i="11"/>
  <c r="N65" i="11"/>
  <c r="L65" i="11"/>
  <c r="N63" i="11"/>
  <c r="L63" i="11"/>
  <c r="N62" i="11"/>
  <c r="L62" i="11"/>
  <c r="N61" i="11"/>
  <c r="L61" i="11"/>
  <c r="L60" i="11"/>
  <c r="N60" i="11" s="1"/>
  <c r="N59" i="11"/>
  <c r="L59" i="11"/>
  <c r="N58" i="11"/>
  <c r="L58" i="11"/>
  <c r="N57" i="11"/>
  <c r="L57" i="11"/>
  <c r="N56" i="11"/>
  <c r="L56" i="11"/>
  <c r="N55" i="11"/>
  <c r="L55" i="11"/>
  <c r="L53" i="11"/>
  <c r="N53" i="11" s="1"/>
  <c r="N52" i="11"/>
  <c r="L52" i="11"/>
  <c r="N51" i="11"/>
  <c r="L51" i="11"/>
  <c r="N50" i="11"/>
  <c r="L50" i="11"/>
  <c r="N49" i="11"/>
  <c r="L49" i="11"/>
  <c r="N48" i="11"/>
  <c r="L48" i="11"/>
  <c r="L47" i="11"/>
  <c r="N47" i="11" s="1"/>
  <c r="N46" i="11"/>
  <c r="L46" i="11"/>
  <c r="N45" i="11"/>
  <c r="L45" i="11"/>
  <c r="N43" i="11"/>
  <c r="L43" i="11"/>
  <c r="N42" i="11"/>
  <c r="L42" i="11"/>
  <c r="N41" i="11"/>
  <c r="L41" i="11"/>
  <c r="L40" i="11"/>
  <c r="N40" i="11" s="1"/>
  <c r="L39" i="11"/>
  <c r="N39" i="11" s="1"/>
  <c r="N38" i="11"/>
  <c r="L38" i="11"/>
  <c r="N37" i="11"/>
  <c r="L37" i="11"/>
  <c r="N36" i="11"/>
  <c r="L36" i="11"/>
  <c r="N35" i="11"/>
  <c r="L35" i="11"/>
  <c r="L33" i="11"/>
  <c r="N33" i="11" s="1"/>
  <c r="L32" i="11"/>
  <c r="N32" i="11" s="1"/>
  <c r="N31" i="11"/>
  <c r="L31" i="11"/>
  <c r="N30" i="11"/>
  <c r="L30" i="11"/>
  <c r="N29" i="11"/>
  <c r="L29" i="11"/>
  <c r="N28" i="11"/>
  <c r="L28" i="11"/>
  <c r="L27" i="11"/>
  <c r="N27" i="11" s="1"/>
  <c r="L26" i="11"/>
  <c r="N26" i="11" s="1"/>
  <c r="N25" i="11"/>
  <c r="L25" i="11"/>
  <c r="N23" i="11"/>
  <c r="L23" i="11"/>
  <c r="N22" i="11"/>
  <c r="L22" i="11"/>
  <c r="N21" i="11"/>
  <c r="L21" i="11"/>
  <c r="L20" i="11"/>
  <c r="N20" i="11" s="1"/>
  <c r="L19" i="11"/>
  <c r="N19" i="11" s="1"/>
  <c r="N18" i="11"/>
  <c r="L18" i="11"/>
  <c r="N17" i="11"/>
  <c r="L17" i="11"/>
  <c r="N16" i="11"/>
  <c r="L16" i="11"/>
  <c r="N15" i="11"/>
  <c r="L15" i="11"/>
  <c r="L13" i="11"/>
  <c r="N13" i="11" s="1"/>
  <c r="L12" i="11"/>
  <c r="N12" i="11" s="1"/>
  <c r="N11" i="11"/>
  <c r="L11" i="11"/>
  <c r="N10" i="11"/>
  <c r="L10" i="11"/>
  <c r="N9" i="11"/>
  <c r="L9" i="11"/>
  <c r="N8" i="11"/>
  <c r="L8" i="11"/>
  <c r="L7" i="11"/>
  <c r="N7" i="11" s="1"/>
  <c r="L6" i="11"/>
  <c r="N6" i="11" s="1"/>
  <c r="N5" i="11"/>
  <c r="L5" i="11"/>
  <c r="N73" i="10"/>
  <c r="L73" i="10"/>
  <c r="N72" i="10"/>
  <c r="L72" i="10"/>
  <c r="N71" i="10"/>
  <c r="L71" i="10"/>
  <c r="N70" i="10"/>
  <c r="L70" i="10"/>
  <c r="L69" i="10"/>
  <c r="N69" i="10" s="1"/>
  <c r="L68" i="10"/>
  <c r="N68" i="10" s="1"/>
  <c r="N67" i="10"/>
  <c r="L67" i="10"/>
  <c r="N66" i="10"/>
  <c r="L66" i="10"/>
  <c r="N65" i="10"/>
  <c r="L65" i="10"/>
  <c r="N63" i="10"/>
  <c r="L63" i="10"/>
  <c r="L62" i="10"/>
  <c r="N62" i="10" s="1"/>
  <c r="L61" i="10"/>
  <c r="N61" i="10" s="1"/>
  <c r="N60" i="10"/>
  <c r="L60" i="10"/>
  <c r="N59" i="10"/>
  <c r="L59" i="10"/>
  <c r="N58" i="10"/>
  <c r="L58" i="10"/>
  <c r="N57" i="10"/>
  <c r="L57" i="10"/>
  <c r="L56" i="10"/>
  <c r="N56" i="10" s="1"/>
  <c r="L55" i="10"/>
  <c r="N55" i="10" s="1"/>
  <c r="N53" i="10"/>
  <c r="L53" i="10"/>
  <c r="N52" i="10"/>
  <c r="L52" i="10"/>
  <c r="N51" i="10"/>
  <c r="L51" i="10"/>
  <c r="N50" i="10"/>
  <c r="L50" i="10"/>
  <c r="L49" i="10"/>
  <c r="N49" i="10" s="1"/>
  <c r="L48" i="10"/>
  <c r="N48" i="10" s="1"/>
  <c r="N47" i="10"/>
  <c r="L47" i="10"/>
  <c r="N46" i="10"/>
  <c r="L46" i="10"/>
  <c r="N45" i="10"/>
  <c r="L45" i="10"/>
  <c r="N43" i="10"/>
  <c r="L43" i="10"/>
  <c r="L42" i="10"/>
  <c r="N42" i="10" s="1"/>
  <c r="L41" i="10"/>
  <c r="N41" i="10" s="1"/>
  <c r="L40" i="10"/>
  <c r="N40" i="10" s="1"/>
  <c r="L39" i="10"/>
  <c r="N39" i="10" s="1"/>
  <c r="L38" i="10"/>
  <c r="N38" i="10" s="1"/>
  <c r="L37" i="10"/>
  <c r="N37" i="10" s="1"/>
  <c r="L36" i="10"/>
  <c r="N36" i="10" s="1"/>
  <c r="L35" i="10"/>
  <c r="N35" i="10" s="1"/>
  <c r="L33" i="10"/>
  <c r="N33" i="10" s="1"/>
  <c r="L32" i="10"/>
  <c r="N32" i="10" s="1"/>
  <c r="L31" i="10"/>
  <c r="N31" i="10" s="1"/>
  <c r="L30" i="10"/>
  <c r="N30" i="10" s="1"/>
  <c r="L29" i="10"/>
  <c r="N29" i="10" s="1"/>
  <c r="L28" i="10"/>
  <c r="N28" i="10" s="1"/>
  <c r="L27" i="10"/>
  <c r="N27" i="10" s="1"/>
  <c r="L26" i="10"/>
  <c r="N26" i="10" s="1"/>
  <c r="L25" i="10"/>
  <c r="N25" i="10" s="1"/>
  <c r="N23" i="10"/>
  <c r="L23" i="10"/>
  <c r="L22" i="10"/>
  <c r="N22" i="10" s="1"/>
  <c r="L21" i="10"/>
  <c r="N21" i="10" s="1"/>
  <c r="L20" i="10"/>
  <c r="N20" i="10" s="1"/>
  <c r="N19" i="10"/>
  <c r="L19" i="10"/>
  <c r="N18" i="10"/>
  <c r="L18" i="10"/>
  <c r="L17" i="10"/>
  <c r="N17" i="10" s="1"/>
  <c r="L16" i="10"/>
  <c r="N16" i="10" s="1"/>
  <c r="L15" i="10"/>
  <c r="N15" i="10" s="1"/>
  <c r="N13" i="10"/>
  <c r="L13" i="10"/>
  <c r="N12" i="10"/>
  <c r="L12" i="10"/>
  <c r="N11" i="10"/>
  <c r="L11" i="10"/>
  <c r="N10" i="10"/>
  <c r="L10" i="10"/>
  <c r="L9" i="10"/>
  <c r="N9" i="10" s="1"/>
  <c r="L8" i="10"/>
  <c r="N8" i="10" s="1"/>
  <c r="N7" i="10"/>
  <c r="L7" i="10"/>
  <c r="N6" i="10"/>
  <c r="L6" i="10"/>
  <c r="N5" i="10"/>
  <c r="L5" i="10"/>
  <c r="N73" i="9"/>
  <c r="L73" i="9"/>
  <c r="N72" i="9"/>
  <c r="L72" i="9"/>
  <c r="L71" i="9"/>
  <c r="N71" i="9" s="1"/>
  <c r="L70" i="9"/>
  <c r="N70" i="9" s="1"/>
  <c r="N69" i="9"/>
  <c r="L69" i="9"/>
  <c r="N68" i="9"/>
  <c r="L68" i="9"/>
  <c r="N67" i="9"/>
  <c r="L67" i="9"/>
  <c r="N66" i="9"/>
  <c r="L66" i="9"/>
  <c r="L65" i="9"/>
  <c r="N65" i="9" s="1"/>
  <c r="L63" i="9"/>
  <c r="N63" i="9" s="1"/>
  <c r="N62" i="9"/>
  <c r="L62" i="9"/>
  <c r="N61" i="9"/>
  <c r="L61" i="9"/>
  <c r="N60" i="9"/>
  <c r="L60" i="9"/>
  <c r="N59" i="9"/>
  <c r="L59" i="9"/>
  <c r="L58" i="9"/>
  <c r="N58" i="9" s="1"/>
  <c r="L57" i="9"/>
  <c r="N57" i="9" s="1"/>
  <c r="N56" i="9"/>
  <c r="L56" i="9"/>
  <c r="L55" i="9"/>
  <c r="N55" i="9" s="1"/>
  <c r="N53" i="9"/>
  <c r="L53" i="9"/>
  <c r="N52" i="9"/>
  <c r="L52" i="9"/>
  <c r="L51" i="9"/>
  <c r="N51" i="9" s="1"/>
  <c r="L50" i="9"/>
  <c r="N50" i="9" s="1"/>
  <c r="N49" i="9"/>
  <c r="L49" i="9"/>
  <c r="N48" i="9"/>
  <c r="L48" i="9"/>
  <c r="N47" i="9"/>
  <c r="L47" i="9"/>
  <c r="N46" i="9"/>
  <c r="L46" i="9"/>
  <c r="L45" i="9"/>
  <c r="N45" i="9" s="1"/>
  <c r="L43" i="9"/>
  <c r="N43" i="9" s="1"/>
  <c r="N42" i="9"/>
  <c r="L42" i="9"/>
  <c r="L41" i="9"/>
  <c r="N41" i="9" s="1"/>
  <c r="L40" i="9"/>
  <c r="N40" i="9" s="1"/>
  <c r="N39" i="9"/>
  <c r="L39" i="9"/>
  <c r="L38" i="9"/>
  <c r="N38" i="9" s="1"/>
  <c r="L37" i="9"/>
  <c r="N37" i="9" s="1"/>
  <c r="N36" i="9"/>
  <c r="L36" i="9"/>
  <c r="L35" i="9"/>
  <c r="N35" i="9" s="1"/>
  <c r="L33" i="9"/>
  <c r="N33" i="9" s="1"/>
  <c r="N32" i="9"/>
  <c r="L32" i="9"/>
  <c r="L31" i="9"/>
  <c r="N31" i="9" s="1"/>
  <c r="L30" i="9"/>
  <c r="N30" i="9" s="1"/>
  <c r="N29" i="9"/>
  <c r="L29" i="9"/>
  <c r="N28" i="9"/>
  <c r="L28" i="9"/>
  <c r="L27" i="9"/>
  <c r="N27" i="9" s="1"/>
  <c r="N26" i="9"/>
  <c r="L26" i="9"/>
  <c r="L25" i="9"/>
  <c r="N25" i="9" s="1"/>
  <c r="L23" i="9"/>
  <c r="N23" i="9" s="1"/>
  <c r="N22" i="9"/>
  <c r="L22" i="9"/>
  <c r="N21" i="9"/>
  <c r="L21" i="9"/>
  <c r="L20" i="9"/>
  <c r="N20" i="9" s="1"/>
  <c r="N19" i="9"/>
  <c r="L19" i="9"/>
  <c r="L18" i="9"/>
  <c r="N18" i="9" s="1"/>
  <c r="L17" i="9"/>
  <c r="N17" i="9" s="1"/>
  <c r="L16" i="9"/>
  <c r="N16" i="9" s="1"/>
  <c r="L15" i="9"/>
  <c r="N15" i="9" s="1"/>
  <c r="L13" i="9"/>
  <c r="N13" i="9" s="1"/>
  <c r="N12" i="9"/>
  <c r="L12" i="9"/>
  <c r="L11" i="9"/>
  <c r="N11" i="9" s="1"/>
  <c r="L10" i="9"/>
  <c r="N10" i="9" s="1"/>
  <c r="N9" i="9"/>
  <c r="L9" i="9"/>
  <c r="L8" i="9"/>
  <c r="N8" i="9" s="1"/>
  <c r="L7" i="9"/>
  <c r="N7" i="9" s="1"/>
  <c r="N6" i="9"/>
  <c r="L6" i="9"/>
  <c r="L5" i="9"/>
  <c r="N5" i="9" s="1"/>
  <c r="L73" i="8"/>
  <c r="N73" i="8" s="1"/>
  <c r="L72" i="8"/>
  <c r="N72" i="8" s="1"/>
  <c r="N71" i="8"/>
  <c r="L71" i="8"/>
  <c r="L70" i="8"/>
  <c r="N70" i="8" s="1"/>
  <c r="L69" i="8"/>
  <c r="N69" i="8" s="1"/>
  <c r="N68" i="8"/>
  <c r="L68" i="8"/>
  <c r="L67" i="8"/>
  <c r="N67" i="8" s="1"/>
  <c r="L66" i="8"/>
  <c r="N66" i="8" s="1"/>
  <c r="N65" i="8"/>
  <c r="L65" i="8"/>
  <c r="N63" i="8"/>
  <c r="L63" i="8"/>
  <c r="L62" i="8"/>
  <c r="N62" i="8" s="1"/>
  <c r="N61" i="8"/>
  <c r="L61" i="8"/>
  <c r="L60" i="8"/>
  <c r="N60" i="8" s="1"/>
  <c r="L59" i="8"/>
  <c r="N59" i="8" s="1"/>
  <c r="N58" i="8"/>
  <c r="L58" i="8"/>
  <c r="N57" i="8"/>
  <c r="L57" i="8"/>
  <c r="L56" i="8"/>
  <c r="N56" i="8" s="1"/>
  <c r="N55" i="8"/>
  <c r="L55" i="8"/>
  <c r="L53" i="8"/>
  <c r="N53" i="8" s="1"/>
  <c r="L52" i="8"/>
  <c r="N52" i="8" s="1"/>
  <c r="N51" i="8"/>
  <c r="L51" i="8"/>
  <c r="N50" i="8"/>
  <c r="L50" i="8"/>
  <c r="L49" i="8"/>
  <c r="N49" i="8" s="1"/>
  <c r="N48" i="8"/>
  <c r="L48" i="8"/>
  <c r="L47" i="8"/>
  <c r="N47" i="8" s="1"/>
  <c r="L46" i="8"/>
  <c r="N46" i="8" s="1"/>
  <c r="N45" i="8"/>
  <c r="L45" i="8"/>
  <c r="L43" i="8"/>
  <c r="N43" i="8" s="1"/>
  <c r="L42" i="8"/>
  <c r="N42" i="8" s="1"/>
  <c r="N41" i="8"/>
  <c r="L41" i="8"/>
  <c r="L40" i="8"/>
  <c r="N40" i="8" s="1"/>
  <c r="L39" i="8"/>
  <c r="N39" i="8" s="1"/>
  <c r="N38" i="8"/>
  <c r="L38" i="8"/>
  <c r="N37" i="8"/>
  <c r="L37" i="8"/>
  <c r="L36" i="8"/>
  <c r="N36" i="8" s="1"/>
  <c r="N35" i="8"/>
  <c r="L35" i="8"/>
  <c r="L33" i="8"/>
  <c r="N33" i="8" s="1"/>
  <c r="L32" i="8"/>
  <c r="N32" i="8" s="1"/>
  <c r="N31" i="8"/>
  <c r="L31" i="8"/>
  <c r="N30" i="8"/>
  <c r="L30" i="8"/>
  <c r="L29" i="8"/>
  <c r="N29" i="8" s="1"/>
  <c r="N28" i="8"/>
  <c r="L28" i="8"/>
  <c r="L27" i="8"/>
  <c r="N27" i="8" s="1"/>
  <c r="L26" i="8"/>
  <c r="N26" i="8" s="1"/>
  <c r="N25" i="8"/>
  <c r="L25" i="8"/>
  <c r="N23" i="8"/>
  <c r="L23" i="8"/>
  <c r="L22" i="8"/>
  <c r="N22" i="8" s="1"/>
  <c r="N21" i="8"/>
  <c r="L21" i="8"/>
  <c r="L20" i="8"/>
  <c r="N20" i="8" s="1"/>
  <c r="L19" i="8"/>
  <c r="N19" i="8" s="1"/>
  <c r="N18" i="8"/>
  <c r="L18" i="8"/>
  <c r="L17" i="8"/>
  <c r="N17" i="8" s="1"/>
  <c r="L16" i="8"/>
  <c r="N16" i="8" s="1"/>
  <c r="N15" i="8"/>
  <c r="L15" i="8"/>
  <c r="L13" i="8"/>
  <c r="N13" i="8" s="1"/>
  <c r="L12" i="8"/>
  <c r="N12" i="8" s="1"/>
  <c r="N11" i="8"/>
  <c r="L11" i="8"/>
  <c r="N10" i="8"/>
  <c r="L10" i="8"/>
  <c r="L9" i="8"/>
  <c r="N9" i="8" s="1"/>
  <c r="N8" i="8"/>
  <c r="L8" i="8"/>
  <c r="L7" i="8"/>
  <c r="N7" i="8" s="1"/>
  <c r="L6" i="8"/>
  <c r="N6" i="8" s="1"/>
  <c r="N5" i="8"/>
  <c r="L5" i="8"/>
  <c r="N73" i="7"/>
  <c r="L73" i="7"/>
  <c r="N72" i="7"/>
  <c r="L72" i="7"/>
  <c r="N71" i="7"/>
  <c r="L71" i="7"/>
  <c r="N70" i="7"/>
  <c r="L70" i="7"/>
  <c r="L69" i="7"/>
  <c r="N69" i="7" s="1"/>
  <c r="L68" i="7"/>
  <c r="N68" i="7" s="1"/>
  <c r="N67" i="7"/>
  <c r="L67" i="7"/>
  <c r="L66" i="7"/>
  <c r="N66" i="7" s="1"/>
  <c r="N65" i="7"/>
  <c r="L65" i="7"/>
  <c r="N63" i="7"/>
  <c r="L63" i="7"/>
  <c r="L62" i="7"/>
  <c r="N62" i="7" s="1"/>
  <c r="L61" i="7"/>
  <c r="N61" i="7" s="1"/>
  <c r="N60" i="7"/>
  <c r="L60" i="7"/>
  <c r="L59" i="7"/>
  <c r="N59" i="7" s="1"/>
  <c r="L58" i="7"/>
  <c r="N58" i="7" s="1"/>
  <c r="N57" i="7"/>
  <c r="L57" i="7"/>
  <c r="L56" i="7"/>
  <c r="N56" i="7" s="1"/>
  <c r="L55" i="7"/>
  <c r="N55" i="7" s="1"/>
  <c r="N53" i="7"/>
  <c r="L53" i="7"/>
  <c r="L52" i="7"/>
  <c r="N52" i="7" s="1"/>
  <c r="L51" i="7"/>
  <c r="N51" i="7" s="1"/>
  <c r="N50" i="7"/>
  <c r="L50" i="7"/>
  <c r="L49" i="7"/>
  <c r="N49" i="7" s="1"/>
  <c r="L48" i="7"/>
  <c r="N48" i="7" s="1"/>
  <c r="N47" i="7"/>
  <c r="L47" i="7"/>
  <c r="L46" i="7"/>
  <c r="N46" i="7" s="1"/>
  <c r="L45" i="7"/>
  <c r="N45" i="7" s="1"/>
  <c r="N43" i="7"/>
  <c r="L43" i="7"/>
  <c r="L42" i="7"/>
  <c r="N42" i="7" s="1"/>
  <c r="L41" i="7"/>
  <c r="N41" i="7" s="1"/>
  <c r="N40" i="7"/>
  <c r="L40" i="7"/>
  <c r="N39" i="7"/>
  <c r="L39" i="7"/>
  <c r="L38" i="7"/>
  <c r="N38" i="7" s="1"/>
  <c r="N37" i="7"/>
  <c r="L37" i="7"/>
  <c r="L36" i="7"/>
  <c r="N36" i="7" s="1"/>
  <c r="L35" i="7"/>
  <c r="N35" i="7" s="1"/>
  <c r="N33" i="7"/>
  <c r="L33" i="7"/>
  <c r="N32" i="7"/>
  <c r="L32" i="7"/>
  <c r="N31" i="7"/>
  <c r="L31" i="7"/>
  <c r="N30" i="7"/>
  <c r="L30" i="7"/>
  <c r="L29" i="7"/>
  <c r="N29" i="7" s="1"/>
  <c r="L28" i="7"/>
  <c r="N28" i="7" s="1"/>
  <c r="N27" i="7"/>
  <c r="L27" i="7"/>
  <c r="L26" i="7"/>
  <c r="N26" i="7" s="1"/>
  <c r="N25" i="7"/>
  <c r="L25" i="7"/>
  <c r="N23" i="7"/>
  <c r="L23" i="7"/>
  <c r="L22" i="7"/>
  <c r="N22" i="7" s="1"/>
  <c r="L21" i="7"/>
  <c r="N21" i="7" s="1"/>
  <c r="N20" i="7"/>
  <c r="L20" i="7"/>
  <c r="L19" i="7"/>
  <c r="N19" i="7" s="1"/>
  <c r="L18" i="7"/>
  <c r="N18" i="7" s="1"/>
  <c r="N17" i="7"/>
  <c r="L17" i="7"/>
  <c r="L16" i="7"/>
  <c r="N16" i="7" s="1"/>
  <c r="L15" i="7"/>
  <c r="N15" i="7" s="1"/>
  <c r="N13" i="7"/>
  <c r="L13" i="7"/>
  <c r="L12" i="7"/>
  <c r="N12" i="7" s="1"/>
  <c r="L11" i="7"/>
  <c r="N11" i="7" s="1"/>
  <c r="N10" i="7"/>
  <c r="L10" i="7"/>
  <c r="L9" i="7"/>
  <c r="N9" i="7" s="1"/>
  <c r="L8" i="7"/>
  <c r="N8" i="7" s="1"/>
  <c r="N7" i="7"/>
  <c r="L7" i="7"/>
  <c r="L6" i="7"/>
  <c r="N6" i="7" s="1"/>
  <c r="L5" i="7"/>
  <c r="N5" i="7" s="1"/>
  <c r="L73" i="6"/>
  <c r="N73" i="6" s="1"/>
  <c r="N72" i="6"/>
  <c r="L72" i="6"/>
  <c r="L71" i="6"/>
  <c r="N71" i="6" s="1"/>
  <c r="L70" i="6"/>
  <c r="N70" i="6" s="1"/>
  <c r="N69" i="6"/>
  <c r="L69" i="6"/>
  <c r="N68" i="6"/>
  <c r="L68" i="6"/>
  <c r="L67" i="6"/>
  <c r="N67" i="6" s="1"/>
  <c r="N66" i="6"/>
  <c r="L66" i="6"/>
  <c r="L65" i="6"/>
  <c r="N65" i="6" s="1"/>
  <c r="L63" i="6"/>
  <c r="N63" i="6" s="1"/>
  <c r="N62" i="6"/>
  <c r="L62" i="6"/>
  <c r="N61" i="6"/>
  <c r="L61" i="6"/>
  <c r="N60" i="6"/>
  <c r="L60" i="6"/>
  <c r="N59" i="6"/>
  <c r="L59" i="6"/>
  <c r="L58" i="6"/>
  <c r="N58" i="6" s="1"/>
  <c r="L57" i="6"/>
  <c r="N57" i="6" s="1"/>
  <c r="N56" i="6"/>
  <c r="L56" i="6"/>
  <c r="L55" i="6"/>
  <c r="N55" i="6" s="1"/>
  <c r="N53" i="6"/>
  <c r="L53" i="6"/>
  <c r="N52" i="6"/>
  <c r="L52" i="6"/>
  <c r="L51" i="6"/>
  <c r="N51" i="6" s="1"/>
  <c r="L50" i="6"/>
  <c r="N50" i="6" s="1"/>
  <c r="N49" i="6"/>
  <c r="L49" i="6"/>
  <c r="L48" i="6"/>
  <c r="N48" i="6" s="1"/>
  <c r="L47" i="6"/>
  <c r="N47" i="6" s="1"/>
  <c r="N46" i="6"/>
  <c r="L46" i="6"/>
  <c r="L45" i="6"/>
  <c r="N45" i="6" s="1"/>
  <c r="L43" i="6"/>
  <c r="N43" i="6" s="1"/>
  <c r="L42" i="6"/>
  <c r="N42" i="6" s="1"/>
  <c r="L41" i="6"/>
  <c r="N41" i="6" s="1"/>
  <c r="L40" i="6"/>
  <c r="N40" i="6" s="1"/>
  <c r="N39" i="6"/>
  <c r="L39" i="6"/>
  <c r="L38" i="6"/>
  <c r="N38" i="6" s="1"/>
  <c r="L37" i="6"/>
  <c r="N37" i="6" s="1"/>
  <c r="L36" i="6"/>
  <c r="N36" i="6" s="1"/>
  <c r="L35" i="6"/>
  <c r="N35" i="6" s="1"/>
  <c r="L33" i="6"/>
  <c r="N33" i="6" s="1"/>
  <c r="N32" i="6"/>
  <c r="L32" i="6"/>
  <c r="L31" i="6"/>
  <c r="N31" i="6" s="1"/>
  <c r="L30" i="6"/>
  <c r="N30" i="6" s="1"/>
  <c r="L29" i="6"/>
  <c r="N29" i="6" s="1"/>
  <c r="L28" i="6"/>
  <c r="N28" i="6" s="1"/>
  <c r="L27" i="6"/>
  <c r="N27" i="6" s="1"/>
  <c r="N26" i="6"/>
  <c r="L26" i="6"/>
  <c r="L25" i="6"/>
  <c r="N25" i="6" s="1"/>
  <c r="L23" i="6"/>
  <c r="N23" i="6" s="1"/>
  <c r="L22" i="6"/>
  <c r="N22" i="6" s="1"/>
  <c r="L21" i="6"/>
  <c r="N21" i="6" s="1"/>
  <c r="N20" i="6"/>
  <c r="L20" i="6"/>
  <c r="L19" i="6"/>
  <c r="N19" i="6" s="1"/>
  <c r="L18" i="6"/>
  <c r="N18" i="6" s="1"/>
  <c r="L17" i="6"/>
  <c r="N17" i="6" s="1"/>
  <c r="L16" i="6"/>
  <c r="N16" i="6" s="1"/>
  <c r="L15" i="6"/>
  <c r="N15" i="6" s="1"/>
  <c r="N13" i="6"/>
  <c r="L13" i="6"/>
  <c r="N12" i="6"/>
  <c r="L12" i="6"/>
  <c r="L11" i="6"/>
  <c r="N11" i="6" s="1"/>
  <c r="L10" i="6"/>
  <c r="N10" i="6" s="1"/>
  <c r="N9" i="6"/>
  <c r="L9" i="6"/>
  <c r="L8" i="6"/>
  <c r="N8" i="6" s="1"/>
  <c r="L7" i="6"/>
  <c r="N7" i="6" s="1"/>
  <c r="N6" i="6"/>
  <c r="L6" i="6"/>
  <c r="L5" i="6"/>
  <c r="N5" i="6" s="1"/>
  <c r="L73" i="5"/>
  <c r="N73" i="5" s="1"/>
  <c r="L72" i="5"/>
  <c r="N72" i="5" s="1"/>
  <c r="N71" i="5"/>
  <c r="L71" i="5"/>
  <c r="N70" i="5"/>
  <c r="L70" i="5"/>
  <c r="N69" i="5"/>
  <c r="L69" i="5"/>
  <c r="N68" i="5"/>
  <c r="L68" i="5"/>
  <c r="L67" i="5"/>
  <c r="N67" i="5" s="1"/>
  <c r="L66" i="5"/>
  <c r="N66" i="5" s="1"/>
  <c r="N65" i="5"/>
  <c r="L65" i="5"/>
  <c r="N63" i="5"/>
  <c r="N62" i="5"/>
  <c r="L62" i="5"/>
  <c r="N61" i="5"/>
  <c r="L61" i="5"/>
  <c r="L60" i="5"/>
  <c r="N60" i="5" s="1"/>
  <c r="L59" i="5"/>
  <c r="N59" i="5" s="1"/>
  <c r="N58" i="5"/>
  <c r="L58" i="5"/>
  <c r="L57" i="5"/>
  <c r="N57" i="5" s="1"/>
  <c r="N56" i="5"/>
  <c r="L56" i="5"/>
  <c r="N55" i="5"/>
  <c r="L55" i="5"/>
  <c r="L53" i="5"/>
  <c r="N53" i="5" s="1"/>
  <c r="L52" i="5"/>
  <c r="N52" i="5" s="1"/>
  <c r="N51" i="5"/>
  <c r="L51" i="5"/>
  <c r="L50" i="5"/>
  <c r="N50" i="5" s="1"/>
  <c r="L49" i="5"/>
  <c r="N49" i="5" s="1"/>
  <c r="N48" i="5"/>
  <c r="L48" i="5"/>
  <c r="L47" i="5"/>
  <c r="N47" i="5" s="1"/>
  <c r="L46" i="5"/>
  <c r="N46" i="5" s="1"/>
  <c r="N45" i="5"/>
  <c r="L45" i="5"/>
  <c r="N43" i="5"/>
  <c r="L43" i="5"/>
  <c r="L42" i="5"/>
  <c r="N42" i="5" s="1"/>
  <c r="N41" i="5"/>
  <c r="L41" i="5"/>
  <c r="L40" i="5"/>
  <c r="N40" i="5" s="1"/>
  <c r="L39" i="5"/>
  <c r="N39" i="5" s="1"/>
  <c r="N38" i="5"/>
  <c r="L38" i="5"/>
  <c r="N37" i="5"/>
  <c r="L37" i="5"/>
  <c r="N36" i="5"/>
  <c r="L36" i="5"/>
  <c r="N35" i="5"/>
  <c r="L35" i="5"/>
  <c r="L33" i="5"/>
  <c r="N33" i="5" s="1"/>
  <c r="L32" i="5"/>
  <c r="N32" i="5" s="1"/>
  <c r="N31" i="5"/>
  <c r="L31" i="5"/>
  <c r="N30" i="5"/>
  <c r="L30" i="5"/>
  <c r="N29" i="5"/>
  <c r="L29" i="5"/>
  <c r="N28" i="5"/>
  <c r="L28" i="5"/>
  <c r="L27" i="5"/>
  <c r="N27" i="5" s="1"/>
  <c r="L26" i="5"/>
  <c r="N26" i="5" s="1"/>
  <c r="N25" i="5"/>
  <c r="L25" i="5"/>
  <c r="N23" i="5"/>
  <c r="L23" i="5"/>
  <c r="N22" i="5"/>
  <c r="L22" i="5"/>
  <c r="N21" i="5"/>
  <c r="L21" i="5"/>
  <c r="L20" i="5"/>
  <c r="N20" i="5" s="1"/>
  <c r="L19" i="5"/>
  <c r="N19" i="5" s="1"/>
  <c r="N18" i="5"/>
  <c r="L18" i="5"/>
  <c r="L17" i="5"/>
  <c r="N17" i="5" s="1"/>
  <c r="N16" i="5"/>
  <c r="L16" i="5"/>
  <c r="N15" i="5"/>
  <c r="L15" i="5"/>
  <c r="L13" i="5"/>
  <c r="N13" i="5" s="1"/>
  <c r="L12" i="5"/>
  <c r="N12" i="5" s="1"/>
  <c r="N11" i="5"/>
  <c r="L11" i="5"/>
  <c r="L10" i="5"/>
  <c r="N10" i="5" s="1"/>
  <c r="L9" i="5"/>
  <c r="N9" i="5" s="1"/>
  <c r="N8" i="5"/>
  <c r="L8" i="5"/>
  <c r="L7" i="5"/>
  <c r="N7" i="5" s="1"/>
  <c r="L6" i="5"/>
  <c r="N6" i="5" s="1"/>
  <c r="N5" i="5"/>
  <c r="L5" i="5"/>
  <c r="N73" i="4"/>
  <c r="L73" i="4"/>
  <c r="N72" i="4"/>
  <c r="L72" i="4"/>
  <c r="N71" i="4"/>
  <c r="L71" i="4"/>
  <c r="L70" i="4"/>
  <c r="N70" i="4" s="1"/>
  <c r="L69" i="4"/>
  <c r="N69" i="4" s="1"/>
  <c r="L68" i="4"/>
  <c r="N68" i="4" s="1"/>
  <c r="N67" i="4"/>
  <c r="L67" i="4"/>
  <c r="N66" i="4"/>
  <c r="L66" i="4"/>
  <c r="N65" i="4"/>
  <c r="L65" i="4"/>
  <c r="N63" i="4"/>
  <c r="L63" i="4"/>
  <c r="L62" i="4"/>
  <c r="N62" i="4" s="1"/>
  <c r="L61" i="4"/>
  <c r="N61" i="4" s="1"/>
  <c r="L60" i="4"/>
  <c r="N60" i="4" s="1"/>
  <c r="N59" i="4"/>
  <c r="L59" i="4"/>
  <c r="N58" i="4"/>
  <c r="L58" i="4"/>
  <c r="N57" i="4"/>
  <c r="L57" i="4"/>
  <c r="L56" i="4"/>
  <c r="N56" i="4" s="1"/>
  <c r="L55" i="4"/>
  <c r="N55" i="4" s="1"/>
  <c r="N53" i="4"/>
  <c r="L53" i="4"/>
  <c r="L52" i="4"/>
  <c r="N52" i="4" s="1"/>
  <c r="N51" i="4"/>
  <c r="L51" i="4"/>
  <c r="N50" i="4"/>
  <c r="L50" i="4"/>
  <c r="L49" i="4"/>
  <c r="N49" i="4" s="1"/>
  <c r="L48" i="4"/>
  <c r="N48" i="4" s="1"/>
  <c r="N47" i="4"/>
  <c r="L47" i="4"/>
  <c r="L46" i="4"/>
  <c r="N46" i="4" s="1"/>
  <c r="L45" i="4"/>
  <c r="N45" i="4" s="1"/>
  <c r="N43" i="4"/>
  <c r="L43" i="4"/>
  <c r="L42" i="4"/>
  <c r="N42" i="4" s="1"/>
  <c r="L41" i="4"/>
  <c r="N41" i="4" s="1"/>
  <c r="N40" i="4"/>
  <c r="L40" i="4"/>
  <c r="N39" i="4"/>
  <c r="L39" i="4"/>
  <c r="L38" i="4"/>
  <c r="N38" i="4" s="1"/>
  <c r="L37" i="4"/>
  <c r="N37" i="4" s="1"/>
  <c r="L36" i="4"/>
  <c r="N36" i="4" s="1"/>
  <c r="L35" i="4"/>
  <c r="N35" i="4" s="1"/>
  <c r="L33" i="4"/>
  <c r="N33" i="4" s="1"/>
  <c r="L32" i="4"/>
  <c r="N32" i="4" s="1"/>
  <c r="L31" i="4"/>
  <c r="N31" i="4" s="1"/>
  <c r="L30" i="4"/>
  <c r="N30" i="4" s="1"/>
  <c r="L29" i="4"/>
  <c r="N29" i="4" s="1"/>
  <c r="L28" i="4"/>
  <c r="N28" i="4" s="1"/>
  <c r="L27" i="4"/>
  <c r="N27" i="4" s="1"/>
  <c r="L26" i="4"/>
  <c r="N26" i="4" s="1"/>
  <c r="L25" i="4"/>
  <c r="N25" i="4" s="1"/>
  <c r="N23" i="4"/>
  <c r="L23" i="4"/>
  <c r="L22" i="4"/>
  <c r="N22" i="4" s="1"/>
  <c r="L21" i="4"/>
  <c r="N21" i="4" s="1"/>
  <c r="L20" i="4"/>
  <c r="N20" i="4" s="1"/>
  <c r="N19" i="4"/>
  <c r="L19" i="4"/>
  <c r="N18" i="4"/>
  <c r="L18" i="4"/>
  <c r="N17" i="4"/>
  <c r="L17" i="4"/>
  <c r="L16" i="4"/>
  <c r="N16" i="4" s="1"/>
  <c r="L15" i="4"/>
  <c r="N15" i="4" s="1"/>
  <c r="N13" i="4"/>
  <c r="L13" i="4"/>
  <c r="L12" i="4"/>
  <c r="N12" i="4" s="1"/>
  <c r="N11" i="4"/>
  <c r="L11" i="4"/>
  <c r="N10" i="4"/>
  <c r="L10" i="4"/>
  <c r="L9" i="4"/>
  <c r="N9" i="4" s="1"/>
  <c r="L8" i="4"/>
  <c r="N8" i="4" s="1"/>
  <c r="L7" i="4"/>
  <c r="N7" i="4" s="1"/>
  <c r="N6" i="4"/>
  <c r="L6" i="4"/>
  <c r="L5" i="4"/>
  <c r="N5" i="4" s="1"/>
  <c r="N73" i="3"/>
  <c r="L73" i="3"/>
  <c r="L72" i="3"/>
  <c r="N72" i="3" s="1"/>
  <c r="L71" i="3"/>
  <c r="N71" i="3" s="1"/>
  <c r="N70" i="3"/>
  <c r="L70" i="3"/>
  <c r="N69" i="3"/>
  <c r="L69" i="3"/>
  <c r="L68" i="3"/>
  <c r="N68" i="3" s="1"/>
  <c r="L67" i="3"/>
  <c r="N67" i="3" s="1"/>
  <c r="N66" i="3"/>
  <c r="L66" i="3"/>
  <c r="L65" i="3"/>
  <c r="N65" i="3" s="1"/>
  <c r="L63" i="3"/>
  <c r="N63" i="3" s="1"/>
  <c r="N62" i="3"/>
  <c r="L62" i="3"/>
  <c r="L61" i="3"/>
  <c r="N61" i="3" s="1"/>
  <c r="N60" i="3"/>
  <c r="L60" i="3"/>
  <c r="N59" i="3"/>
  <c r="L59" i="3"/>
  <c r="L58" i="3"/>
  <c r="N58" i="3" s="1"/>
  <c r="L57" i="3"/>
  <c r="N57" i="3" s="1"/>
  <c r="N56" i="3"/>
  <c r="L56" i="3"/>
  <c r="N55" i="3"/>
  <c r="L55" i="3"/>
  <c r="L53" i="3"/>
  <c r="N53" i="3" s="1"/>
  <c r="L52" i="3"/>
  <c r="N52" i="3" s="1"/>
  <c r="L51" i="3"/>
  <c r="N51" i="3" s="1"/>
  <c r="L50" i="3"/>
  <c r="N50" i="3" s="1"/>
  <c r="N49" i="3"/>
  <c r="L49" i="3"/>
  <c r="L48" i="3"/>
  <c r="N48" i="3" s="1"/>
  <c r="L47" i="3"/>
  <c r="N47" i="3" s="1"/>
  <c r="N46" i="3"/>
  <c r="L46" i="3"/>
  <c r="L45" i="3"/>
  <c r="N45" i="3" s="1"/>
  <c r="N43" i="3"/>
  <c r="L43" i="3"/>
  <c r="N42" i="3"/>
  <c r="L42" i="3"/>
  <c r="N41" i="3"/>
  <c r="L41" i="3"/>
  <c r="N40" i="3"/>
  <c r="L40" i="3"/>
  <c r="L39" i="3"/>
  <c r="N39" i="3" s="1"/>
  <c r="L38" i="3"/>
  <c r="N38" i="3" s="1"/>
  <c r="N37" i="3"/>
  <c r="L37" i="3"/>
  <c r="N36" i="3"/>
  <c r="L36" i="3"/>
  <c r="L35" i="3"/>
  <c r="N35" i="3" s="1"/>
  <c r="L33" i="3"/>
  <c r="N33" i="3" s="1"/>
  <c r="L32" i="3"/>
  <c r="N32" i="3" s="1"/>
  <c r="L31" i="3"/>
  <c r="N31" i="3" s="1"/>
  <c r="L30" i="3"/>
  <c r="N30" i="3" s="1"/>
  <c r="N29" i="3"/>
  <c r="L29" i="3"/>
  <c r="L28" i="3"/>
  <c r="N28" i="3" s="1"/>
  <c r="N27" i="3"/>
  <c r="L27" i="3"/>
  <c r="N26" i="3"/>
  <c r="L26" i="3"/>
  <c r="L25" i="3"/>
  <c r="N25" i="3" s="1"/>
  <c r="N23" i="3"/>
  <c r="L23" i="3"/>
  <c r="N22" i="3"/>
  <c r="L22" i="3"/>
  <c r="L21" i="3"/>
  <c r="N21" i="3" s="1"/>
  <c r="L20" i="3"/>
  <c r="N20" i="3" s="1"/>
  <c r="L19" i="3"/>
  <c r="N19" i="3" s="1"/>
  <c r="L18" i="3"/>
  <c r="N18" i="3" s="1"/>
  <c r="L17" i="3"/>
  <c r="N17" i="3" s="1"/>
  <c r="N16" i="3"/>
  <c r="L16" i="3"/>
  <c r="N15" i="3"/>
  <c r="L15" i="3"/>
  <c r="L13" i="3"/>
  <c r="N13" i="3" s="1"/>
  <c r="N12" i="3"/>
  <c r="L12" i="3"/>
  <c r="L11" i="3"/>
  <c r="N11" i="3" s="1"/>
  <c r="L10" i="3"/>
  <c r="N10" i="3" s="1"/>
  <c r="N9" i="3"/>
  <c r="L9" i="3"/>
  <c r="N8" i="3"/>
  <c r="L8" i="3"/>
  <c r="L7" i="3"/>
  <c r="N7" i="3" s="1"/>
  <c r="L6" i="3"/>
  <c r="N6" i="3" s="1"/>
  <c r="L5" i="3"/>
  <c r="N5" i="3" s="1"/>
  <c r="L73" i="2"/>
  <c r="N73" i="2" s="1"/>
  <c r="L72" i="2"/>
  <c r="N72" i="2" s="1"/>
  <c r="N71" i="2"/>
  <c r="L71" i="2"/>
  <c r="N70" i="2"/>
  <c r="L70" i="2"/>
  <c r="N69" i="2"/>
  <c r="L69" i="2"/>
  <c r="L68" i="2"/>
  <c r="N68" i="2" s="1"/>
  <c r="L67" i="2"/>
  <c r="N67" i="2" s="1"/>
  <c r="N66" i="2"/>
  <c r="L66" i="2"/>
  <c r="N65" i="2"/>
  <c r="L65" i="2"/>
  <c r="L63" i="2"/>
  <c r="N63" i="2" s="1"/>
  <c r="L62" i="2"/>
  <c r="N62" i="2" s="1"/>
  <c r="N61" i="2"/>
  <c r="L61" i="2"/>
  <c r="L60" i="2"/>
  <c r="N60" i="2" s="1"/>
  <c r="L59" i="2"/>
  <c r="N59" i="2" s="1"/>
  <c r="N58" i="2"/>
  <c r="L58" i="2"/>
  <c r="L57" i="2"/>
  <c r="N57" i="2" s="1"/>
  <c r="N56" i="2"/>
  <c r="L56" i="2"/>
  <c r="N55" i="2"/>
  <c r="L55" i="2"/>
  <c r="L53" i="2"/>
  <c r="N53" i="2" s="1"/>
  <c r="L52" i="2"/>
  <c r="N52" i="2" s="1"/>
  <c r="N51" i="2"/>
  <c r="L51" i="2"/>
  <c r="N50" i="2"/>
  <c r="L50" i="2"/>
  <c r="L49" i="2"/>
  <c r="N49" i="2" s="1"/>
  <c r="L48" i="2"/>
  <c r="N48" i="2" s="1"/>
  <c r="L47" i="2"/>
  <c r="N47" i="2" s="1"/>
  <c r="L46" i="2"/>
  <c r="N46" i="2" s="1"/>
  <c r="N45" i="2"/>
  <c r="L45" i="2"/>
  <c r="L43" i="2"/>
  <c r="N43" i="2" s="1"/>
  <c r="L42" i="2"/>
  <c r="N42" i="2" s="1"/>
  <c r="N41" i="2"/>
  <c r="L41" i="2"/>
  <c r="L40" i="2"/>
  <c r="N40" i="2" s="1"/>
  <c r="N39" i="2"/>
  <c r="L39" i="2"/>
  <c r="N38" i="2"/>
  <c r="L38" i="2"/>
  <c r="N37" i="2"/>
  <c r="L37" i="2"/>
  <c r="N36" i="2"/>
  <c r="L36" i="2"/>
  <c r="L35" i="2"/>
  <c r="N35" i="2" s="1"/>
  <c r="L33" i="2"/>
  <c r="N33" i="2" s="1"/>
  <c r="N32" i="2"/>
  <c r="L32" i="2"/>
  <c r="N31" i="2"/>
  <c r="L31" i="2"/>
  <c r="L30" i="2"/>
  <c r="N30" i="2" s="1"/>
  <c r="L29" i="2"/>
  <c r="N29" i="2" s="1"/>
  <c r="L28" i="2"/>
  <c r="N28" i="2" s="1"/>
  <c r="L27" i="2"/>
  <c r="N27" i="2" s="1"/>
  <c r="L26" i="2"/>
  <c r="N26" i="2" s="1"/>
  <c r="N25" i="2"/>
  <c r="L25" i="2"/>
  <c r="L23" i="2"/>
  <c r="N23" i="2" s="1"/>
  <c r="N22" i="2"/>
  <c r="L22" i="2"/>
  <c r="N21" i="2"/>
  <c r="L21" i="2"/>
  <c r="L20" i="2"/>
  <c r="N20" i="2" s="1"/>
  <c r="N19" i="2"/>
  <c r="L19" i="2"/>
  <c r="N18" i="2"/>
  <c r="L18" i="2"/>
  <c r="L17" i="2"/>
  <c r="N17" i="2" s="1"/>
  <c r="L16" i="2"/>
  <c r="N16" i="2" s="1"/>
  <c r="L15" i="2"/>
  <c r="N15" i="2" s="1"/>
  <c r="L13" i="2"/>
  <c r="N13" i="2" s="1"/>
  <c r="L12" i="2"/>
  <c r="N12" i="2" s="1"/>
  <c r="N11" i="2"/>
  <c r="L11" i="2"/>
  <c r="N10" i="2"/>
  <c r="L10" i="2"/>
  <c r="L9" i="2"/>
  <c r="N9" i="2" s="1"/>
  <c r="N8" i="2"/>
  <c r="L8" i="2"/>
  <c r="L7" i="2"/>
  <c r="N7" i="2" s="1"/>
  <c r="L6" i="2"/>
  <c r="N6" i="2" s="1"/>
  <c r="N5" i="2"/>
  <c r="L5" i="2"/>
  <c r="K3" i="2"/>
  <c r="J3" i="2"/>
  <c r="I3" i="2"/>
  <c r="H3" i="2"/>
  <c r="G3" i="2"/>
  <c r="F3" i="2"/>
  <c r="E3" i="2"/>
  <c r="D3" i="2"/>
  <c r="C3" i="2"/>
  <c r="B3" i="2"/>
</calcChain>
</file>

<file path=xl/sharedStrings.xml><?xml version="1.0" encoding="utf-8"?>
<sst xmlns="http://schemas.openxmlformats.org/spreadsheetml/2006/main" count="7644" uniqueCount="150">
  <si>
    <t>Hardware bestand</t>
  </si>
  <si>
    <t>Ist Bestand</t>
  </si>
  <si>
    <t xml:space="preserve">Nicht nutzbar/ Defekt </t>
  </si>
  <si>
    <t>Zusatzinfo</t>
  </si>
  <si>
    <t>Summe nutzbar</t>
  </si>
  <si>
    <t>Laptop</t>
  </si>
  <si>
    <t>1 offline Server</t>
  </si>
  <si>
    <t>Kartendrucker</t>
  </si>
  <si>
    <t>1 (zum. Testen im Techniklager)</t>
  </si>
  <si>
    <t>Laserdrucker (HP)</t>
  </si>
  <si>
    <t>Laserdrucker (Kyrocera)</t>
  </si>
  <si>
    <t>Laserdrucker (weiß)</t>
  </si>
  <si>
    <t>Nicht für  Akkreditierung nutzbar</t>
  </si>
  <si>
    <t>Laserdrucker (Brother)</t>
  </si>
  <si>
    <t>Gesamt Laserdrucker</t>
  </si>
  <si>
    <t>Thermodrucker</t>
  </si>
  <si>
    <t>Scanner</t>
  </si>
  <si>
    <t>Funktion nicht bekannt</t>
  </si>
  <si>
    <t>Handhelden</t>
  </si>
  <si>
    <t>Ipad</t>
  </si>
  <si>
    <t>Im Wersewerk eingesetzt</t>
  </si>
  <si>
    <t xml:space="preserve">LTE Gateway </t>
  </si>
  <si>
    <t>laden automatisch auf ab 5 €</t>
  </si>
  <si>
    <t>Switch</t>
  </si>
  <si>
    <t>Kunde</t>
  </si>
  <si>
    <t>Mitarbeiter</t>
  </si>
  <si>
    <t>Gesamtübersicht</t>
  </si>
  <si>
    <t>Montag  05.01.</t>
  </si>
  <si>
    <t xml:space="preserve">Aktueller Bestand </t>
  </si>
  <si>
    <t>Router</t>
  </si>
  <si>
    <t>Laserdrucker</t>
  </si>
  <si>
    <t>Handheld</t>
  </si>
  <si>
    <t>Dienstag  06.01.</t>
  </si>
  <si>
    <t>Dienstag</t>
  </si>
  <si>
    <t>Mittwoch 07.01.</t>
  </si>
  <si>
    <t>Mittwoch</t>
  </si>
  <si>
    <t>Donnerstag 08.01</t>
  </si>
  <si>
    <t>Donnerstag</t>
  </si>
  <si>
    <t>Freitag 09.01</t>
  </si>
  <si>
    <t>Freitag</t>
  </si>
  <si>
    <t>Samstag  10.01.</t>
  </si>
  <si>
    <t xml:space="preserve">Samstag </t>
  </si>
  <si>
    <t>Sonnatg 11.01.</t>
  </si>
  <si>
    <t>Sonnatg</t>
  </si>
  <si>
    <t>Köln Bonn</t>
  </si>
  <si>
    <t>Julia</t>
  </si>
  <si>
    <t>Montag  12.01.</t>
  </si>
  <si>
    <t>Dienstag  13.01.</t>
  </si>
  <si>
    <t>Mittwoch 14.01.</t>
  </si>
  <si>
    <t>Donnerstag 15.01</t>
  </si>
  <si>
    <t>Freitag 16.01</t>
  </si>
  <si>
    <t>Samstag  17.01.</t>
  </si>
  <si>
    <t>Sonnatg 18.01.</t>
  </si>
  <si>
    <t>Schmalkalden</t>
  </si>
  <si>
    <t>Anna/ Fabian</t>
  </si>
  <si>
    <t>Montag  26.01.</t>
  </si>
  <si>
    <t>Dienstag  27.01.</t>
  </si>
  <si>
    <t>Mittwoch 28.01.</t>
  </si>
  <si>
    <t>Donnerstag 29.01</t>
  </si>
  <si>
    <t>Freitag 30.01</t>
  </si>
  <si>
    <t>Samstag  31.01.</t>
  </si>
  <si>
    <t>Sonnatg 01.02.</t>
  </si>
  <si>
    <t>BDEW (NRW)</t>
  </si>
  <si>
    <t>Lennart</t>
  </si>
  <si>
    <t>Montag  23.02.</t>
  </si>
  <si>
    <t>Dienstag  24.02.</t>
  </si>
  <si>
    <t>Mittwoch 25.02.</t>
  </si>
  <si>
    <t>Donnerstag 26.02</t>
  </si>
  <si>
    <t>Freitag 27.02</t>
  </si>
  <si>
    <t>Samstag  28.02.</t>
  </si>
  <si>
    <t>Sonnatg 01.03.</t>
  </si>
  <si>
    <t>Emscher</t>
  </si>
  <si>
    <t>Lippe</t>
  </si>
  <si>
    <t>julia</t>
  </si>
  <si>
    <t>Montag  09.03.</t>
  </si>
  <si>
    <t>Dienstag  10.03.</t>
  </si>
  <si>
    <t>Mittwoch 11.03.</t>
  </si>
  <si>
    <t>Donnerstag 12.03</t>
  </si>
  <si>
    <t>Freitag 13.03</t>
  </si>
  <si>
    <t>Samstag  14.03.</t>
  </si>
  <si>
    <t>Sonnatg 15.03.</t>
  </si>
  <si>
    <t>ZVEI</t>
  </si>
  <si>
    <t>Sparda-Berlin</t>
  </si>
  <si>
    <t>B effectiv</t>
  </si>
  <si>
    <t>Montag  16.03.</t>
  </si>
  <si>
    <t>Dienstag  17.03.</t>
  </si>
  <si>
    <t>Mittwoch 18.03.</t>
  </si>
  <si>
    <t>Donnerstag 19.03</t>
  </si>
  <si>
    <t>Freitag 20.03</t>
  </si>
  <si>
    <t>Samstag  21.03.</t>
  </si>
  <si>
    <t>Sonnatg 22.03.</t>
  </si>
  <si>
    <t>Montag  13.04.</t>
  </si>
  <si>
    <t>Dienstag  14.04.</t>
  </si>
  <si>
    <t>Mittwoch 15.04.</t>
  </si>
  <si>
    <t>Donnerstag 16.04</t>
  </si>
  <si>
    <t>Freitag 17.04</t>
  </si>
  <si>
    <t>Samstag  18.04.</t>
  </si>
  <si>
    <t>Sonnatg 19.04.</t>
  </si>
  <si>
    <t xml:space="preserve">Frankfurter VB </t>
  </si>
  <si>
    <t>Montag  27.04.</t>
  </si>
  <si>
    <t>Dienstag  28.04.</t>
  </si>
  <si>
    <t>Mittwoch 29.04.</t>
  </si>
  <si>
    <t>Donnerstag 30.04</t>
  </si>
  <si>
    <t>Freitag 01.05</t>
  </si>
  <si>
    <t>Samstag  02.05.</t>
  </si>
  <si>
    <t>Sonnatg 03.05.</t>
  </si>
  <si>
    <t>BVR</t>
  </si>
  <si>
    <t xml:space="preserve">Frankfurt </t>
  </si>
  <si>
    <t>Montag  04.05.</t>
  </si>
  <si>
    <t>Dienstag  05.05.</t>
  </si>
  <si>
    <t>Mittwoch 06.05.</t>
  </si>
  <si>
    <t>Donnerstag 07.05</t>
  </si>
  <si>
    <t>Freitag 08.05</t>
  </si>
  <si>
    <t>Samstag  09.05.</t>
  </si>
  <si>
    <t>Sonnatg 10.05.</t>
  </si>
  <si>
    <t xml:space="preserve">ZVEI MV &amp; ESummit </t>
  </si>
  <si>
    <t>Anna</t>
  </si>
  <si>
    <t>Montag  18.05.</t>
  </si>
  <si>
    <t>Dienstag  19.05.</t>
  </si>
  <si>
    <t>Mittwoch 20.05.</t>
  </si>
  <si>
    <t>Donnerstag 21.05</t>
  </si>
  <si>
    <t>Freitag 22.05</t>
  </si>
  <si>
    <t>Samstag  23.05.</t>
  </si>
  <si>
    <t>Sonnatg 24.05.</t>
  </si>
  <si>
    <t>PSD Hannover</t>
  </si>
  <si>
    <t>Fabian</t>
  </si>
  <si>
    <t>Montag  25.05.</t>
  </si>
  <si>
    <t>Dienstag  26.05.</t>
  </si>
  <si>
    <t>Mittwoch 27.05.</t>
  </si>
  <si>
    <t>Donnerstag 28.05</t>
  </si>
  <si>
    <t>Freitag 29.05</t>
  </si>
  <si>
    <t>Samstag  30.05.</t>
  </si>
  <si>
    <t>Sonnatg 31.05.</t>
  </si>
  <si>
    <t>BDEW</t>
  </si>
  <si>
    <t>VB Brawo</t>
  </si>
  <si>
    <t>PSD Hessen Thüringen</t>
  </si>
  <si>
    <t>VB Südwestfalen</t>
  </si>
  <si>
    <t>BPI</t>
  </si>
  <si>
    <t>BBBank</t>
  </si>
  <si>
    <t>DKM</t>
  </si>
  <si>
    <t>Gleiches Set wie VB Südwestfalen</t>
  </si>
  <si>
    <t>Montag  08.06.</t>
  </si>
  <si>
    <t>Dienstag  09.06.</t>
  </si>
  <si>
    <t>1</t>
  </si>
  <si>
    <t>5</t>
  </si>
  <si>
    <t>Mittwoch 10.06.</t>
  </si>
  <si>
    <t>Donnerstag 11.06.</t>
  </si>
  <si>
    <t>Freitag 12.06.</t>
  </si>
  <si>
    <t>Samstag  13.06.</t>
  </si>
  <si>
    <t>Sonnatg 14.06.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</si>
</sst>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textRotation="255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5" borderId="0" xfId="0" applyFont="1" applyFill="1"/>
    <xf numFmtId="0" fontId="1" fillId="0" borderId="0" xfId="0" applyFon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quotePrefix="1"/>
  </cellXfs>
  <cellStyles count="1">
    <cellStyle name="Standard" xfId="0" builtinId="0"/>
  </cellStyles>
  <dxfs count="113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F9" sqref="F9"/>
    </sheetView>
  </sheetViews>
  <sheetFormatPr defaultColWidth="11" defaultRowHeight="15.95"/>
  <cols>
    <col min="1" max="1" width="20.625" bestFit="1" customWidth="1"/>
    <col min="2" max="2" width="10.125" bestFit="1" customWidth="1"/>
    <col min="3" max="3" width="19" bestFit="1" customWidth="1"/>
    <col min="4" max="4" width="27.125" bestFit="1" customWidth="1"/>
    <col min="6" max="6" width="13.625" bestFit="1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/>
      <c r="F1" s="8" t="s">
        <v>4</v>
      </c>
    </row>
    <row r="2" spans="1:6">
      <c r="A2" s="9" t="s">
        <v>5</v>
      </c>
      <c r="B2" s="9">
        <v>33</v>
      </c>
      <c r="C2" s="9">
        <v>1</v>
      </c>
      <c r="D2" s="9" t="s">
        <v>6</v>
      </c>
      <c r="E2" s="9"/>
      <c r="F2" s="9">
        <v>32</v>
      </c>
    </row>
    <row r="3" spans="1:6">
      <c r="A3" s="9" t="s">
        <v>7</v>
      </c>
      <c r="B3" s="9">
        <v>12</v>
      </c>
      <c r="C3" s="9"/>
      <c r="D3" s="9" t="s">
        <v>8</v>
      </c>
      <c r="E3" s="9"/>
      <c r="F3" s="9">
        <v>12</v>
      </c>
    </row>
    <row r="4" spans="1:6">
      <c r="A4" s="9" t="s">
        <v>9</v>
      </c>
      <c r="B4" s="9">
        <v>7</v>
      </c>
      <c r="C4" s="9"/>
      <c r="D4" s="9"/>
      <c r="E4" s="9"/>
      <c r="F4" s="9">
        <v>7</v>
      </c>
    </row>
    <row r="5" spans="1:6">
      <c r="A5" s="9" t="s">
        <v>10</v>
      </c>
      <c r="B5" s="9">
        <v>4</v>
      </c>
      <c r="C5" s="9"/>
      <c r="D5" s="9"/>
      <c r="E5" s="9"/>
      <c r="F5" s="9">
        <v>4</v>
      </c>
    </row>
    <row r="6" spans="1:6">
      <c r="A6" s="9" t="s">
        <v>11</v>
      </c>
      <c r="B6" s="9">
        <v>2</v>
      </c>
      <c r="C6" s="9"/>
      <c r="D6" s="9" t="s">
        <v>12</v>
      </c>
      <c r="E6" s="9"/>
      <c r="F6" s="9">
        <v>2</v>
      </c>
    </row>
    <row r="7" spans="1:6">
      <c r="A7" s="9" t="s">
        <v>13</v>
      </c>
      <c r="B7" s="9">
        <v>20</v>
      </c>
      <c r="C7" s="9"/>
      <c r="D7" s="9"/>
      <c r="E7" s="9"/>
      <c r="F7" s="9">
        <v>20</v>
      </c>
    </row>
    <row r="8" spans="1:6">
      <c r="A8" s="9" t="s">
        <v>14</v>
      </c>
      <c r="B8" s="9"/>
      <c r="C8" s="9"/>
      <c r="D8" s="9"/>
      <c r="E8" s="9"/>
      <c r="F8" s="9">
        <f>SUM(F4:F7)</f>
        <v>33</v>
      </c>
    </row>
    <row r="9" spans="1:6">
      <c r="A9" s="9" t="s">
        <v>15</v>
      </c>
      <c r="B9" s="9">
        <v>12</v>
      </c>
      <c r="C9" s="9"/>
      <c r="D9" s="9"/>
      <c r="E9" s="9"/>
      <c r="F9" s="9">
        <v>12</v>
      </c>
    </row>
    <row r="10" spans="1:6">
      <c r="A10" s="9" t="s">
        <v>16</v>
      </c>
      <c r="B10" s="9">
        <v>31</v>
      </c>
      <c r="C10" s="9">
        <v>2</v>
      </c>
      <c r="D10" s="9" t="s">
        <v>17</v>
      </c>
      <c r="E10" s="9"/>
      <c r="F10" s="9">
        <v>29</v>
      </c>
    </row>
    <row r="11" spans="1:6">
      <c r="A11" s="9" t="s">
        <v>18</v>
      </c>
      <c r="B11" s="9">
        <v>24</v>
      </c>
      <c r="C11" s="9"/>
      <c r="D11" s="9"/>
      <c r="E11" s="9"/>
      <c r="F11" s="9">
        <v>24</v>
      </c>
    </row>
    <row r="12" spans="1:6">
      <c r="A12" s="9" t="s">
        <v>19</v>
      </c>
      <c r="B12" s="9">
        <v>34</v>
      </c>
      <c r="C12" s="9">
        <v>3</v>
      </c>
      <c r="D12" s="9" t="s">
        <v>20</v>
      </c>
      <c r="E12" s="9"/>
      <c r="F12" s="9">
        <v>31</v>
      </c>
    </row>
    <row r="13" spans="1:6">
      <c r="A13" s="9" t="s">
        <v>21</v>
      </c>
      <c r="B13" s="9">
        <v>9</v>
      </c>
      <c r="C13" s="9"/>
      <c r="D13" s="9" t="s">
        <v>22</v>
      </c>
      <c r="E13" s="9"/>
      <c r="F13" s="9">
        <v>9</v>
      </c>
    </row>
    <row r="14" spans="1:6">
      <c r="A14" s="9" t="s">
        <v>23</v>
      </c>
      <c r="B14" s="9">
        <v>7</v>
      </c>
      <c r="C14" s="9"/>
      <c r="D14" s="9"/>
      <c r="E14" s="9"/>
      <c r="F14" s="9">
        <v>7</v>
      </c>
    </row>
  </sheetData>
  <conditionalFormatting sqref="N5:N13">
    <cfRule type="cellIs" dxfId="1133" priority="4" operator="lessThanOrEqual">
      <formula>0</formula>
    </cfRule>
    <cfRule type="cellIs" dxfId="1132" priority="5" operator="between">
      <formula>1</formula>
      <formula>3</formula>
    </cfRule>
    <cfRule type="expression" dxfId="1131" priority="6">
      <formula>AND(N5&gt;3,NOT(ISBLANK(N5)))</formula>
    </cfRule>
  </conditionalFormatting>
  <conditionalFormatting sqref="N15:N23">
    <cfRule type="cellIs" dxfId="1130" priority="7" operator="lessThanOrEqual">
      <formula>0</formula>
    </cfRule>
    <cfRule type="cellIs" dxfId="1129" priority="8" operator="between">
      <formula>1</formula>
      <formula>3</formula>
    </cfRule>
    <cfRule type="expression" dxfId="1128" priority="9">
      <formula>AND(N15&gt;3,NOT(ISBLANK(N15)))</formula>
    </cfRule>
  </conditionalFormatting>
  <conditionalFormatting sqref="N25:N33">
    <cfRule type="cellIs" dxfId="1127" priority="10" operator="lessThanOrEqual">
      <formula>0</formula>
    </cfRule>
    <cfRule type="cellIs" dxfId="1126" priority="11" operator="between">
      <formula>1</formula>
      <formula>3</formula>
    </cfRule>
    <cfRule type="expression" dxfId="1125" priority="12">
      <formula>AND(N25&gt;3,NOT(ISBLANK(N25)))</formula>
    </cfRule>
  </conditionalFormatting>
  <conditionalFormatting sqref="N35:N43">
    <cfRule type="cellIs" dxfId="1124" priority="13" operator="lessThanOrEqual">
      <formula>0</formula>
    </cfRule>
    <cfRule type="cellIs" dxfId="1123" priority="14" operator="between">
      <formula>1</formula>
      <formula>3</formula>
    </cfRule>
    <cfRule type="expression" dxfId="1122" priority="15">
      <formula>AND(N35&gt;3,NOT(ISBLANK(N35)))</formula>
    </cfRule>
  </conditionalFormatting>
  <conditionalFormatting sqref="N45:N53">
    <cfRule type="cellIs" dxfId="1121" priority="16" operator="lessThanOrEqual">
      <formula>0</formula>
    </cfRule>
    <cfRule type="cellIs" dxfId="1120" priority="17" operator="between">
      <formula>1</formula>
      <formula>3</formula>
    </cfRule>
    <cfRule type="expression" dxfId="1119" priority="18">
      <formula>AND(N45&gt;3,NOT(ISBLANK(N45)))</formula>
    </cfRule>
  </conditionalFormatting>
  <conditionalFormatting sqref="N55:N63">
    <cfRule type="cellIs" dxfId="1118" priority="19" operator="lessThanOrEqual">
      <formula>0</formula>
    </cfRule>
    <cfRule type="cellIs" dxfId="1117" priority="20" operator="between">
      <formula>1</formula>
      <formula>3</formula>
    </cfRule>
    <cfRule type="expression" dxfId="1116" priority="21">
      <formula>AND(N55&gt;3,NOT(ISBLANK(N55)))</formula>
    </cfRule>
  </conditionalFormatting>
  <conditionalFormatting sqref="N65:N73">
    <cfRule type="cellIs" dxfId="1115" priority="22" operator="lessThanOrEqual">
      <formula>0</formula>
    </cfRule>
    <cfRule type="cellIs" dxfId="1114" priority="23" operator="between">
      <formula>1</formula>
      <formula>3</formula>
    </cfRule>
    <cfRule type="expression" dxfId="1113" priority="24">
      <formula>AND(N65&gt;3,NOT(ISBLANK(N65)))</formula>
    </cfRule>
  </conditionalFormatting>
  <dataValidations count="1">
    <dataValidation type="list" allowBlank="1" sqref="A2:B101" xr:uid="{00000000-0002-0000-0000-000000000000}"/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3"/>
  <sheetViews>
    <sheetView workbookViewId="0">
      <selection activeCell="E26" sqref="E26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112" priority="4" operator="lessThanOrEqual">
      <formula>0</formula>
    </cfRule>
    <cfRule type="cellIs" dxfId="1111" priority="5" operator="between">
      <formula>1</formula>
      <formula>3</formula>
    </cfRule>
    <cfRule type="expression" dxfId="1110" priority="6">
      <formula>AND(N5&gt;3,NOT(ISBLANK(N5)))</formula>
    </cfRule>
  </conditionalFormatting>
  <conditionalFormatting sqref="N15:N23">
    <cfRule type="cellIs" dxfId="1109" priority="7" operator="lessThanOrEqual">
      <formula>0</formula>
    </cfRule>
    <cfRule type="cellIs" dxfId="1108" priority="8" operator="between">
      <formula>1</formula>
      <formula>3</formula>
    </cfRule>
    <cfRule type="expression" dxfId="1107" priority="9">
      <formula>AND(N15&gt;3,NOT(ISBLANK(N15)))</formula>
    </cfRule>
  </conditionalFormatting>
  <conditionalFormatting sqref="N25:N33">
    <cfRule type="cellIs" dxfId="1106" priority="10" operator="lessThanOrEqual">
      <formula>0</formula>
    </cfRule>
    <cfRule type="cellIs" dxfId="1105" priority="11" operator="between">
      <formula>1</formula>
      <formula>3</formula>
    </cfRule>
    <cfRule type="expression" dxfId="1104" priority="12">
      <formula>AND(N25&gt;3,NOT(ISBLANK(N25)))</formula>
    </cfRule>
  </conditionalFormatting>
  <conditionalFormatting sqref="N35:N43">
    <cfRule type="cellIs" dxfId="1103" priority="13" operator="lessThanOrEqual">
      <formula>0</formula>
    </cfRule>
    <cfRule type="cellIs" dxfId="1102" priority="14" operator="between">
      <formula>1</formula>
      <formula>3</formula>
    </cfRule>
    <cfRule type="expression" dxfId="1101" priority="15">
      <formula>AND(N35&gt;3,NOT(ISBLANK(N35)))</formula>
    </cfRule>
  </conditionalFormatting>
  <conditionalFormatting sqref="N45:N53">
    <cfRule type="cellIs" dxfId="1100" priority="16" operator="lessThanOrEqual">
      <formula>0</formula>
    </cfRule>
    <cfRule type="cellIs" dxfId="1099" priority="17" operator="between">
      <formula>1</formula>
      <formula>3</formula>
    </cfRule>
    <cfRule type="expression" dxfId="1098" priority="18">
      <formula>AND(N45&gt;3,NOT(ISBLANK(N45)))</formula>
    </cfRule>
  </conditionalFormatting>
  <conditionalFormatting sqref="N55:N63">
    <cfRule type="cellIs" dxfId="1097" priority="19" operator="lessThanOrEqual">
      <formula>0</formula>
    </cfRule>
    <cfRule type="cellIs" dxfId="1096" priority="20" operator="between">
      <formula>1</formula>
      <formula>3</formula>
    </cfRule>
    <cfRule type="expression" dxfId="1095" priority="21">
      <formula>AND(N55&gt;3,NOT(ISBLANK(N55)))</formula>
    </cfRule>
  </conditionalFormatting>
  <conditionalFormatting sqref="N65:N73">
    <cfRule type="cellIs" dxfId="1094" priority="22" operator="lessThanOrEqual">
      <formula>0</formula>
    </cfRule>
    <cfRule type="cellIs" dxfId="1093" priority="23" operator="between">
      <formula>1</formula>
      <formula>3</formula>
    </cfRule>
    <cfRule type="expression" dxfId="1092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3"/>
  <sheetViews>
    <sheetView workbookViewId="0">
      <selection activeCell="D38" sqref="D38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091" priority="4" operator="lessThanOrEqual">
      <formula>0</formula>
    </cfRule>
    <cfRule type="cellIs" dxfId="1090" priority="5" operator="between">
      <formula>1</formula>
      <formula>3</formula>
    </cfRule>
    <cfRule type="expression" dxfId="1089" priority="6">
      <formula>AND(N5&gt;3,NOT(ISBLANK(N5)))</formula>
    </cfRule>
  </conditionalFormatting>
  <conditionalFormatting sqref="N15:N23">
    <cfRule type="cellIs" dxfId="1088" priority="7" operator="lessThanOrEqual">
      <formula>0</formula>
    </cfRule>
    <cfRule type="cellIs" dxfId="1087" priority="8" operator="between">
      <formula>1</formula>
      <formula>3</formula>
    </cfRule>
    <cfRule type="expression" dxfId="1086" priority="9">
      <formula>AND(N15&gt;3,NOT(ISBLANK(N15)))</formula>
    </cfRule>
  </conditionalFormatting>
  <conditionalFormatting sqref="N25:N33">
    <cfRule type="cellIs" dxfId="1085" priority="10" operator="lessThanOrEqual">
      <formula>0</formula>
    </cfRule>
    <cfRule type="cellIs" dxfId="1084" priority="11" operator="between">
      <formula>1</formula>
      <formula>3</formula>
    </cfRule>
    <cfRule type="expression" dxfId="1083" priority="12">
      <formula>AND(N25&gt;3,NOT(ISBLANK(N25)))</formula>
    </cfRule>
  </conditionalFormatting>
  <conditionalFormatting sqref="N35:N43">
    <cfRule type="cellIs" dxfId="1082" priority="13" operator="lessThanOrEqual">
      <formula>0</formula>
    </cfRule>
    <cfRule type="cellIs" dxfId="1081" priority="14" operator="between">
      <formula>1</formula>
      <formula>3</formula>
    </cfRule>
    <cfRule type="expression" dxfId="1080" priority="15">
      <formula>AND(N35&gt;3,NOT(ISBLANK(N35)))</formula>
    </cfRule>
  </conditionalFormatting>
  <conditionalFormatting sqref="N45:N53">
    <cfRule type="cellIs" dxfId="1079" priority="16" operator="lessThanOrEqual">
      <formula>0</formula>
    </cfRule>
    <cfRule type="cellIs" dxfId="1078" priority="17" operator="between">
      <formula>1</formula>
      <formula>3</formula>
    </cfRule>
    <cfRule type="expression" dxfId="1077" priority="18">
      <formula>AND(N45&gt;3,NOT(ISBLANK(N45)))</formula>
    </cfRule>
  </conditionalFormatting>
  <conditionalFormatting sqref="N55:N63">
    <cfRule type="cellIs" dxfId="1076" priority="19" operator="lessThanOrEqual">
      <formula>0</formula>
    </cfRule>
    <cfRule type="cellIs" dxfId="1075" priority="20" operator="between">
      <formula>1</formula>
      <formula>3</formula>
    </cfRule>
    <cfRule type="expression" dxfId="1074" priority="21">
      <formula>AND(N55&gt;3,NOT(ISBLANK(N55)))</formula>
    </cfRule>
  </conditionalFormatting>
  <conditionalFormatting sqref="N65:N73">
    <cfRule type="cellIs" dxfId="1073" priority="22" operator="lessThanOrEqual">
      <formula>0</formula>
    </cfRule>
    <cfRule type="cellIs" dxfId="1072" priority="23" operator="between">
      <formula>1</formula>
      <formula>3</formula>
    </cfRule>
    <cfRule type="expression" dxfId="1071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selection activeCell="B1" sqref="B1:B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0" t="s">
        <v>44</v>
      </c>
    </row>
    <row r="2" spans="1:37">
      <c r="A2" t="s">
        <v>25</v>
      </c>
      <c r="B2" s="10" t="s">
        <v>45</v>
      </c>
    </row>
    <row r="3" spans="1:37" ht="242.1">
      <c r="A3" s="1" t="s">
        <v>26</v>
      </c>
      <c r="B3" s="11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Mittwoch 14.01.
  - 1 x Router
  - 1 x Switch
  - 5 x Laptops
  - 5 x Scanner
  - 5 x Handheld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46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47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48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1</v>
      </c>
      <c r="L25">
        <f t="shared" ref="L25:L33" si="3">SUM(B25:K25)</f>
        <v>1</v>
      </c>
      <c r="M25" s="5" t="s">
        <v>29</v>
      </c>
      <c r="N25">
        <f>Bestand!$F$13 -(L25)</f>
        <v>8</v>
      </c>
    </row>
    <row r="26" spans="1:37">
      <c r="A26" s="5" t="s">
        <v>23</v>
      </c>
      <c r="B26">
        <v>1</v>
      </c>
      <c r="L26">
        <f t="shared" si="3"/>
        <v>1</v>
      </c>
      <c r="M26" s="5" t="s">
        <v>23</v>
      </c>
      <c r="N26">
        <f>Bestand!$F$14 -(L26)</f>
        <v>6</v>
      </c>
    </row>
    <row r="27" spans="1:37">
      <c r="A27" s="5" t="s">
        <v>5</v>
      </c>
      <c r="B27">
        <v>5</v>
      </c>
      <c r="L27">
        <f t="shared" si="3"/>
        <v>5</v>
      </c>
      <c r="M27" s="5" t="s">
        <v>5</v>
      </c>
      <c r="N27">
        <f>Bestand!$F$2 -(L27)</f>
        <v>27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B31">
        <v>5</v>
      </c>
      <c r="L31">
        <f t="shared" si="3"/>
        <v>5</v>
      </c>
      <c r="M31" s="5" t="s">
        <v>16</v>
      </c>
      <c r="N31">
        <f>Bestand!$F$10 -(L31)</f>
        <v>24</v>
      </c>
    </row>
    <row r="32" spans="1:37">
      <c r="A32" s="5" t="s">
        <v>31</v>
      </c>
      <c r="B32">
        <v>5</v>
      </c>
      <c r="L32">
        <f t="shared" si="3"/>
        <v>5</v>
      </c>
      <c r="M32" s="5" t="s">
        <v>31</v>
      </c>
      <c r="N32">
        <f>Bestand!$F$11 -(L32)</f>
        <v>19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49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50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51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52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070" priority="4" operator="lessThanOrEqual">
      <formula>0</formula>
    </cfRule>
    <cfRule type="cellIs" dxfId="1069" priority="5" operator="between">
      <formula>1</formula>
      <formula>3</formula>
    </cfRule>
    <cfRule type="expression" dxfId="1068" priority="6">
      <formula>AND(N5&gt;3,NOT(ISBLANK(N5)))</formula>
    </cfRule>
  </conditionalFormatting>
  <conditionalFormatting sqref="N15:N23">
    <cfRule type="cellIs" dxfId="1067" priority="7" operator="lessThanOrEqual">
      <formula>0</formula>
    </cfRule>
    <cfRule type="cellIs" dxfId="1066" priority="8" operator="between">
      <formula>1</formula>
      <formula>3</formula>
    </cfRule>
    <cfRule type="expression" dxfId="1065" priority="9">
      <formula>AND(N15&gt;3,NOT(ISBLANK(N15)))</formula>
    </cfRule>
  </conditionalFormatting>
  <conditionalFormatting sqref="N25:N33">
    <cfRule type="cellIs" dxfId="1064" priority="10" operator="lessThanOrEqual">
      <formula>0</formula>
    </cfRule>
    <cfRule type="cellIs" dxfId="1063" priority="11" operator="between">
      <formula>1</formula>
      <formula>3</formula>
    </cfRule>
    <cfRule type="expression" dxfId="1062" priority="12">
      <formula>AND(N25&gt;3,NOT(ISBLANK(N25)))</formula>
    </cfRule>
  </conditionalFormatting>
  <conditionalFormatting sqref="N35:N43">
    <cfRule type="cellIs" dxfId="1061" priority="13" operator="lessThanOrEqual">
      <formula>0</formula>
    </cfRule>
    <cfRule type="cellIs" dxfId="1060" priority="14" operator="between">
      <formula>1</formula>
      <formula>3</formula>
    </cfRule>
    <cfRule type="expression" dxfId="1059" priority="15">
      <formula>AND(N35&gt;3,NOT(ISBLANK(N35)))</formula>
    </cfRule>
  </conditionalFormatting>
  <conditionalFormatting sqref="N45:N53">
    <cfRule type="cellIs" dxfId="1058" priority="16" operator="lessThanOrEqual">
      <formula>0</formula>
    </cfRule>
    <cfRule type="cellIs" dxfId="1057" priority="17" operator="between">
      <formula>1</formula>
      <formula>3</formula>
    </cfRule>
    <cfRule type="expression" dxfId="1056" priority="18">
      <formula>AND(N45&gt;3,NOT(ISBLANK(N45)))</formula>
    </cfRule>
  </conditionalFormatting>
  <conditionalFormatting sqref="N55:N63">
    <cfRule type="cellIs" dxfId="1055" priority="19" operator="lessThanOrEqual">
      <formula>0</formula>
    </cfRule>
    <cfRule type="cellIs" dxfId="1054" priority="20" operator="between">
      <formula>1</formula>
      <formula>3</formula>
    </cfRule>
    <cfRule type="expression" dxfId="1053" priority="21">
      <formula>AND(N55&gt;3,NOT(ISBLANK(N55)))</formula>
    </cfRule>
  </conditionalFormatting>
  <conditionalFormatting sqref="N65:N73">
    <cfRule type="cellIs" dxfId="1052" priority="22" operator="lessThanOrEqual">
      <formula>0</formula>
    </cfRule>
    <cfRule type="cellIs" dxfId="1051" priority="23" operator="between">
      <formula>1</formula>
      <formula>3</formula>
    </cfRule>
    <cfRule type="expression" dxfId="1050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2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049" priority="4" operator="lessThanOrEqual">
      <formula>0</formula>
    </cfRule>
    <cfRule type="cellIs" dxfId="1048" priority="5" operator="between">
      <formula>1</formula>
      <formula>3</formula>
    </cfRule>
    <cfRule type="expression" dxfId="1047" priority="6">
      <formula>AND(N5&gt;3,NOT(ISBLANK(N5)))</formula>
    </cfRule>
  </conditionalFormatting>
  <conditionalFormatting sqref="N15:N23">
    <cfRule type="cellIs" dxfId="1046" priority="7" operator="lessThanOrEqual">
      <formula>0</formula>
    </cfRule>
    <cfRule type="cellIs" dxfId="1045" priority="8" operator="between">
      <formula>1</formula>
      <formula>3</formula>
    </cfRule>
    <cfRule type="expression" dxfId="1044" priority="9">
      <formula>AND(N15&gt;3,NOT(ISBLANK(N15)))</formula>
    </cfRule>
  </conditionalFormatting>
  <conditionalFormatting sqref="N25:N33">
    <cfRule type="cellIs" dxfId="1043" priority="10" operator="lessThanOrEqual">
      <formula>0</formula>
    </cfRule>
    <cfRule type="cellIs" dxfId="1042" priority="11" operator="between">
      <formula>1</formula>
      <formula>3</formula>
    </cfRule>
    <cfRule type="expression" dxfId="1041" priority="12">
      <formula>AND(N25&gt;3,NOT(ISBLANK(N25)))</formula>
    </cfRule>
  </conditionalFormatting>
  <conditionalFormatting sqref="N35:N43">
    <cfRule type="cellIs" dxfId="1040" priority="13" operator="lessThanOrEqual">
      <formula>0</formula>
    </cfRule>
    <cfRule type="cellIs" dxfId="1039" priority="14" operator="between">
      <formula>1</formula>
      <formula>3</formula>
    </cfRule>
    <cfRule type="expression" dxfId="1038" priority="15">
      <formula>AND(N35&gt;3,NOT(ISBLANK(N35)))</formula>
    </cfRule>
  </conditionalFormatting>
  <conditionalFormatting sqref="N45:N53">
    <cfRule type="cellIs" dxfId="1037" priority="16" operator="lessThanOrEqual">
      <formula>0</formula>
    </cfRule>
    <cfRule type="cellIs" dxfId="1036" priority="17" operator="between">
      <formula>1</formula>
      <formula>3</formula>
    </cfRule>
    <cfRule type="expression" dxfId="1035" priority="18">
      <formula>AND(N45&gt;3,NOT(ISBLANK(N45)))</formula>
    </cfRule>
  </conditionalFormatting>
  <conditionalFormatting sqref="N55:N63">
    <cfRule type="cellIs" dxfId="1034" priority="19" operator="lessThanOrEqual">
      <formula>0</formula>
    </cfRule>
    <cfRule type="cellIs" dxfId="1033" priority="20" operator="between">
      <formula>1</formula>
      <formula>3</formula>
    </cfRule>
    <cfRule type="expression" dxfId="1032" priority="21">
      <formula>AND(N55&gt;3,NOT(ISBLANK(N55)))</formula>
    </cfRule>
  </conditionalFormatting>
  <conditionalFormatting sqref="N65:N73">
    <cfRule type="cellIs" dxfId="1031" priority="22" operator="lessThanOrEqual">
      <formula>0</formula>
    </cfRule>
    <cfRule type="cellIs" dxfId="1030" priority="23" operator="between">
      <formula>1</formula>
      <formula>3</formula>
    </cfRule>
    <cfRule type="expression" dxfId="1029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3"/>
  <sheetViews>
    <sheetView workbookViewId="0">
      <selection activeCell="B3" sqref="B3"/>
    </sheetView>
  </sheetViews>
  <sheetFormatPr defaultColWidth="11" defaultRowHeight="15.95"/>
  <cols>
    <col min="1" max="1" width="15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0" t="s">
        <v>53</v>
      </c>
    </row>
    <row r="2" spans="1:37">
      <c r="A2" t="s">
        <v>25</v>
      </c>
      <c r="B2" s="10" t="s">
        <v>54</v>
      </c>
    </row>
    <row r="3" spans="1:37" ht="409.6">
      <c r="A3" s="1" t="s">
        <v>26</v>
      </c>
      <c r="B3" s="11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27.01.
  - 2 x Router
  - 2 x Switch
  - 2 x iPad
  - 7 x Laserdrucker
  - 7 x Scanner
  - 3 x Handheld Scanner
Mittwoch 28.01.
  - 2 x Router
  - 2 x Switch
  - 2 x iPad
  - 7 x Laserdrucker
  - 7 x Scanner
  - 3 x Handheld Scanner
Donnerstag 29.01
  - 2 x Router
  - 2 x Switch
  - 2 x iPad
  - 7 x Laserdrucker
  - 7 x Scanner
  - 3 x Handheld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55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56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2</v>
      </c>
      <c r="L15">
        <f t="shared" ref="L15:L23" si="2">SUM(B15:K15)</f>
        <v>2</v>
      </c>
      <c r="M15" s="5" t="s">
        <v>29</v>
      </c>
      <c r="N15">
        <f>Bestand!$F$13 -(L15)</f>
        <v>7</v>
      </c>
    </row>
    <row r="16" spans="1:37">
      <c r="A16" s="5" t="s">
        <v>23</v>
      </c>
      <c r="B16">
        <v>2</v>
      </c>
      <c r="L16">
        <f t="shared" si="2"/>
        <v>2</v>
      </c>
      <c r="M16" s="5" t="s">
        <v>23</v>
      </c>
      <c r="N16">
        <f>Bestand!$F$14 -(L16)</f>
        <v>5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B19">
        <v>7</v>
      </c>
      <c r="L19">
        <f t="shared" si="2"/>
        <v>7</v>
      </c>
      <c r="M19" s="5" t="s">
        <v>30</v>
      </c>
      <c r="N19">
        <f>Bestand!$F$8 -(L19)</f>
        <v>26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B21">
        <v>7</v>
      </c>
      <c r="L21">
        <f t="shared" si="2"/>
        <v>7</v>
      </c>
      <c r="M21" s="5" t="s">
        <v>16</v>
      </c>
      <c r="N21">
        <f>Bestand!$F$10 -(L21)</f>
        <v>22</v>
      </c>
    </row>
    <row r="22" spans="1:37">
      <c r="A22" s="5" t="s">
        <v>31</v>
      </c>
      <c r="B22">
        <v>3</v>
      </c>
      <c r="L22">
        <f t="shared" si="2"/>
        <v>3</v>
      </c>
      <c r="M22" s="5" t="s">
        <v>31</v>
      </c>
      <c r="N22">
        <f>Bestand!$F$11 -(L22)</f>
        <v>21</v>
      </c>
    </row>
    <row r="23" spans="1:37">
      <c r="A23" s="5" t="s">
        <v>19</v>
      </c>
      <c r="B23">
        <v>2</v>
      </c>
      <c r="L23">
        <f t="shared" si="2"/>
        <v>2</v>
      </c>
      <c r="M23" s="5" t="s">
        <v>19</v>
      </c>
      <c r="N23">
        <f>Bestand!$F$12 -(L23)</f>
        <v>29</v>
      </c>
    </row>
    <row r="24" spans="1:37" s="3" customFormat="1">
      <c r="A24" s="3" t="s">
        <v>57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2</v>
      </c>
      <c r="L25">
        <f t="shared" ref="L25:L33" si="3">SUM(B25:K25)</f>
        <v>2</v>
      </c>
      <c r="M25" s="5" t="s">
        <v>29</v>
      </c>
      <c r="N25">
        <f>Bestand!$F$13 -(L25)</f>
        <v>7</v>
      </c>
    </row>
    <row r="26" spans="1:37">
      <c r="A26" s="5" t="s">
        <v>23</v>
      </c>
      <c r="B26">
        <v>2</v>
      </c>
      <c r="L26">
        <f t="shared" si="3"/>
        <v>2</v>
      </c>
      <c r="M26" s="5" t="s">
        <v>23</v>
      </c>
      <c r="N26">
        <f>Bestand!$F$14 -(L26)</f>
        <v>5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B29">
        <v>7</v>
      </c>
      <c r="L29">
        <f t="shared" si="3"/>
        <v>7</v>
      </c>
      <c r="M29" s="5" t="s">
        <v>30</v>
      </c>
      <c r="N29">
        <f>Bestand!$F$8 -(L29)</f>
        <v>26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B31">
        <v>7</v>
      </c>
      <c r="L31">
        <f t="shared" si="3"/>
        <v>7</v>
      </c>
      <c r="M31" s="5" t="s">
        <v>16</v>
      </c>
      <c r="N31">
        <f>Bestand!$F$10 -(L31)</f>
        <v>22</v>
      </c>
    </row>
    <row r="32" spans="1:37">
      <c r="A32" s="5" t="s">
        <v>31</v>
      </c>
      <c r="B32">
        <v>3</v>
      </c>
      <c r="L32">
        <f t="shared" si="3"/>
        <v>3</v>
      </c>
      <c r="M32" s="5" t="s">
        <v>31</v>
      </c>
      <c r="N32">
        <f>Bestand!$F$11 -(L32)</f>
        <v>21</v>
      </c>
    </row>
    <row r="33" spans="1:37">
      <c r="A33" s="5" t="s">
        <v>19</v>
      </c>
      <c r="B33">
        <v>2</v>
      </c>
      <c r="L33">
        <f t="shared" si="3"/>
        <v>2</v>
      </c>
      <c r="M33" s="5" t="s">
        <v>19</v>
      </c>
      <c r="N33">
        <f>Bestand!$F$12 -(L33)</f>
        <v>29</v>
      </c>
    </row>
    <row r="34" spans="1:37" s="3" customFormat="1">
      <c r="A34" s="3" t="s">
        <v>58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B35">
        <v>2</v>
      </c>
      <c r="L35">
        <f t="shared" ref="L35:L43" si="4">SUM(B35:K35)</f>
        <v>2</v>
      </c>
      <c r="M35" s="5" t="s">
        <v>29</v>
      </c>
      <c r="N35">
        <f>Bestand!$F$13 -(L35)</f>
        <v>7</v>
      </c>
    </row>
    <row r="36" spans="1:37">
      <c r="A36" s="5" t="s">
        <v>23</v>
      </c>
      <c r="B36">
        <v>2</v>
      </c>
      <c r="L36">
        <f t="shared" si="4"/>
        <v>2</v>
      </c>
      <c r="M36" s="5" t="s">
        <v>23</v>
      </c>
      <c r="N36">
        <f>Bestand!$F$14 -(L36)</f>
        <v>5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B39">
        <v>7</v>
      </c>
      <c r="L39">
        <f t="shared" si="4"/>
        <v>7</v>
      </c>
      <c r="M39" s="5" t="s">
        <v>30</v>
      </c>
      <c r="N39">
        <f>Bestand!$F$8 -(L39)</f>
        <v>26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B41">
        <v>7</v>
      </c>
      <c r="L41">
        <f t="shared" si="4"/>
        <v>7</v>
      </c>
      <c r="M41" s="5" t="s">
        <v>16</v>
      </c>
      <c r="N41">
        <f>Bestand!$F$10 -(L41)</f>
        <v>22</v>
      </c>
    </row>
    <row r="42" spans="1:37">
      <c r="A42" s="5" t="s">
        <v>31</v>
      </c>
      <c r="B42">
        <v>3</v>
      </c>
      <c r="L42">
        <f t="shared" si="4"/>
        <v>3</v>
      </c>
      <c r="M42" s="5" t="s">
        <v>31</v>
      </c>
      <c r="N42">
        <f>Bestand!$F$11 -(L42)</f>
        <v>21</v>
      </c>
    </row>
    <row r="43" spans="1:37">
      <c r="A43" s="5" t="s">
        <v>19</v>
      </c>
      <c r="B43">
        <v>2</v>
      </c>
      <c r="L43">
        <f t="shared" si="4"/>
        <v>2</v>
      </c>
      <c r="M43" s="5" t="s">
        <v>19</v>
      </c>
      <c r="N43">
        <f>Bestand!$F$12 -(L43)</f>
        <v>29</v>
      </c>
    </row>
    <row r="44" spans="1:37" s="3" customFormat="1">
      <c r="A44" s="3" t="s">
        <v>59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60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61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028" priority="4" operator="lessThanOrEqual">
      <formula>0</formula>
    </cfRule>
    <cfRule type="cellIs" dxfId="1027" priority="5" operator="between">
      <formula>1</formula>
      <formula>3</formula>
    </cfRule>
    <cfRule type="expression" dxfId="1026" priority="6">
      <formula>AND(N5&gt;3,NOT(ISBLANK(N5)))</formula>
    </cfRule>
  </conditionalFormatting>
  <conditionalFormatting sqref="N15:N23">
    <cfRule type="cellIs" dxfId="1025" priority="7" operator="lessThanOrEqual">
      <formula>0</formula>
    </cfRule>
    <cfRule type="cellIs" dxfId="1024" priority="8" operator="between">
      <formula>1</formula>
      <formula>3</formula>
    </cfRule>
    <cfRule type="expression" dxfId="1023" priority="9">
      <formula>AND(N15&gt;3,NOT(ISBLANK(N15)))</formula>
    </cfRule>
  </conditionalFormatting>
  <conditionalFormatting sqref="N25:N33">
    <cfRule type="cellIs" dxfId="1022" priority="10" operator="lessThanOrEqual">
      <formula>0</formula>
    </cfRule>
    <cfRule type="cellIs" dxfId="1021" priority="11" operator="between">
      <formula>1</formula>
      <formula>3</formula>
    </cfRule>
    <cfRule type="expression" dxfId="1020" priority="12">
      <formula>AND(N25&gt;3,NOT(ISBLANK(N25)))</formula>
    </cfRule>
  </conditionalFormatting>
  <conditionalFormatting sqref="N35:N43">
    <cfRule type="cellIs" dxfId="1019" priority="13" operator="lessThanOrEqual">
      <formula>0</formula>
    </cfRule>
    <cfRule type="cellIs" dxfId="1018" priority="14" operator="between">
      <formula>1</formula>
      <formula>3</formula>
    </cfRule>
    <cfRule type="expression" dxfId="1017" priority="15">
      <formula>AND(N35&gt;3,NOT(ISBLANK(N35)))</formula>
    </cfRule>
  </conditionalFormatting>
  <conditionalFormatting sqref="N45:N53">
    <cfRule type="cellIs" dxfId="1016" priority="16" operator="lessThanOrEqual">
      <formula>0</formula>
    </cfRule>
    <cfRule type="cellIs" dxfId="1015" priority="17" operator="between">
      <formula>1</formula>
      <formula>3</formula>
    </cfRule>
    <cfRule type="expression" dxfId="1014" priority="18">
      <formula>AND(N45&gt;3,NOT(ISBLANK(N45)))</formula>
    </cfRule>
  </conditionalFormatting>
  <conditionalFormatting sqref="N55:N63">
    <cfRule type="cellIs" dxfId="1013" priority="19" operator="lessThanOrEqual">
      <formula>0</formula>
    </cfRule>
    <cfRule type="cellIs" dxfId="1012" priority="20" operator="between">
      <formula>1</formula>
      <formula>3</formula>
    </cfRule>
    <cfRule type="expression" dxfId="1011" priority="21">
      <formula>AND(N55&gt;3,NOT(ISBLANK(N55)))</formula>
    </cfRule>
  </conditionalFormatting>
  <conditionalFormatting sqref="N65:N73">
    <cfRule type="cellIs" dxfId="1010" priority="22" operator="lessThanOrEqual">
      <formula>0</formula>
    </cfRule>
    <cfRule type="cellIs" dxfId="1009" priority="23" operator="between">
      <formula>1</formula>
      <formula>3</formula>
    </cfRule>
    <cfRule type="expression" dxfId="1008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007" priority="4" operator="lessThanOrEqual">
      <formula>0</formula>
    </cfRule>
    <cfRule type="cellIs" dxfId="1006" priority="5" operator="between">
      <formula>1</formula>
      <formula>3</formula>
    </cfRule>
    <cfRule type="expression" dxfId="1005" priority="6">
      <formula>AND(N5&gt;3,NOT(ISBLANK(N5)))</formula>
    </cfRule>
  </conditionalFormatting>
  <conditionalFormatting sqref="N15:N23">
    <cfRule type="cellIs" dxfId="1004" priority="7" operator="lessThanOrEqual">
      <formula>0</formula>
    </cfRule>
    <cfRule type="cellIs" dxfId="1003" priority="8" operator="between">
      <formula>1</formula>
      <formula>3</formula>
    </cfRule>
    <cfRule type="expression" dxfId="1002" priority="9">
      <formula>AND(N15&gt;3,NOT(ISBLANK(N15)))</formula>
    </cfRule>
  </conditionalFormatting>
  <conditionalFormatting sqref="N25:N33">
    <cfRule type="cellIs" dxfId="1001" priority="10" operator="lessThanOrEqual">
      <formula>0</formula>
    </cfRule>
    <cfRule type="cellIs" dxfId="1000" priority="11" operator="between">
      <formula>1</formula>
      <formula>3</formula>
    </cfRule>
    <cfRule type="expression" dxfId="999" priority="12">
      <formula>AND(N25&gt;3,NOT(ISBLANK(N25)))</formula>
    </cfRule>
  </conditionalFormatting>
  <conditionalFormatting sqref="N35:N43">
    <cfRule type="cellIs" dxfId="998" priority="13" operator="lessThanOrEqual">
      <formula>0</formula>
    </cfRule>
    <cfRule type="cellIs" dxfId="997" priority="14" operator="between">
      <formula>1</formula>
      <formula>3</formula>
    </cfRule>
    <cfRule type="expression" dxfId="996" priority="15">
      <formula>AND(N35&gt;3,NOT(ISBLANK(N35)))</formula>
    </cfRule>
  </conditionalFormatting>
  <conditionalFormatting sqref="N45:N53">
    <cfRule type="cellIs" dxfId="995" priority="16" operator="lessThanOrEqual">
      <formula>0</formula>
    </cfRule>
    <cfRule type="cellIs" dxfId="994" priority="17" operator="between">
      <formula>1</formula>
      <formula>3</formula>
    </cfRule>
    <cfRule type="expression" dxfId="993" priority="18">
      <formula>AND(N45&gt;3,NOT(ISBLANK(N45)))</formula>
    </cfRule>
  </conditionalFormatting>
  <conditionalFormatting sqref="N55:N63">
    <cfRule type="cellIs" dxfId="992" priority="19" operator="lessThanOrEqual">
      <formula>0</formula>
    </cfRule>
    <cfRule type="cellIs" dxfId="991" priority="20" operator="between">
      <formula>1</formula>
      <formula>3</formula>
    </cfRule>
    <cfRule type="expression" dxfId="990" priority="21">
      <formula>AND(N55&gt;3,NOT(ISBLANK(N55)))</formula>
    </cfRule>
  </conditionalFormatting>
  <conditionalFormatting sqref="N65:N73">
    <cfRule type="cellIs" dxfId="989" priority="22" operator="lessThanOrEqual">
      <formula>0</formula>
    </cfRule>
    <cfRule type="cellIs" dxfId="988" priority="23" operator="between">
      <formula>1</formula>
      <formula>3</formula>
    </cfRule>
    <cfRule type="expression" dxfId="987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986" priority="4" operator="lessThanOrEqual">
      <formula>0</formula>
    </cfRule>
    <cfRule type="cellIs" dxfId="985" priority="5" operator="between">
      <formula>1</formula>
      <formula>3</formula>
    </cfRule>
    <cfRule type="expression" dxfId="984" priority="6">
      <formula>AND(N5&gt;3,NOT(ISBLANK(N5)))</formula>
    </cfRule>
  </conditionalFormatting>
  <conditionalFormatting sqref="N15:N23">
    <cfRule type="cellIs" dxfId="983" priority="7" operator="lessThanOrEqual">
      <formula>0</formula>
    </cfRule>
    <cfRule type="cellIs" dxfId="982" priority="8" operator="between">
      <formula>1</formula>
      <formula>3</formula>
    </cfRule>
    <cfRule type="expression" dxfId="981" priority="9">
      <formula>AND(N15&gt;3,NOT(ISBLANK(N15)))</formula>
    </cfRule>
  </conditionalFormatting>
  <conditionalFormatting sqref="N25:N33">
    <cfRule type="cellIs" dxfId="980" priority="10" operator="lessThanOrEqual">
      <formula>0</formula>
    </cfRule>
    <cfRule type="cellIs" dxfId="979" priority="11" operator="between">
      <formula>1</formula>
      <formula>3</formula>
    </cfRule>
    <cfRule type="expression" dxfId="978" priority="12">
      <formula>AND(N25&gt;3,NOT(ISBLANK(N25)))</formula>
    </cfRule>
  </conditionalFormatting>
  <conditionalFormatting sqref="N35:N43">
    <cfRule type="cellIs" dxfId="977" priority="13" operator="lessThanOrEqual">
      <formula>0</formula>
    </cfRule>
    <cfRule type="cellIs" dxfId="976" priority="14" operator="between">
      <formula>1</formula>
      <formula>3</formula>
    </cfRule>
    <cfRule type="expression" dxfId="975" priority="15">
      <formula>AND(N35&gt;3,NOT(ISBLANK(N35)))</formula>
    </cfRule>
  </conditionalFormatting>
  <conditionalFormatting sqref="N45:N53">
    <cfRule type="cellIs" dxfId="974" priority="16" operator="lessThanOrEqual">
      <formula>0</formula>
    </cfRule>
    <cfRule type="cellIs" dxfId="973" priority="17" operator="between">
      <formula>1</formula>
      <formula>3</formula>
    </cfRule>
    <cfRule type="expression" dxfId="972" priority="18">
      <formula>AND(N45&gt;3,NOT(ISBLANK(N45)))</formula>
    </cfRule>
  </conditionalFormatting>
  <conditionalFormatting sqref="N55:N63">
    <cfRule type="cellIs" dxfId="971" priority="19" operator="lessThanOrEqual">
      <formula>0</formula>
    </cfRule>
    <cfRule type="cellIs" dxfId="970" priority="20" operator="between">
      <formula>1</formula>
      <formula>3</formula>
    </cfRule>
    <cfRule type="expression" dxfId="969" priority="21">
      <formula>AND(N55&gt;3,NOT(ISBLANK(N55)))</formula>
    </cfRule>
  </conditionalFormatting>
  <conditionalFormatting sqref="N65:N73">
    <cfRule type="cellIs" dxfId="968" priority="22" operator="lessThanOrEqual">
      <formula>0</formula>
    </cfRule>
    <cfRule type="cellIs" dxfId="967" priority="23" operator="between">
      <formula>1</formula>
      <formula>3</formula>
    </cfRule>
    <cfRule type="expression" dxfId="966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"/>
  <sheetViews>
    <sheetView workbookViewId="0">
      <selection activeCell="C3" sqref="C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965" priority="4" operator="lessThanOrEqual">
      <formula>0</formula>
    </cfRule>
    <cfRule type="cellIs" dxfId="964" priority="5" operator="between">
      <formula>1</formula>
      <formula>3</formula>
    </cfRule>
    <cfRule type="expression" dxfId="963" priority="6">
      <formula>AND(N5&gt;3,NOT(ISBLANK(N5)))</formula>
    </cfRule>
  </conditionalFormatting>
  <conditionalFormatting sqref="N15:N23">
    <cfRule type="cellIs" dxfId="962" priority="7" operator="lessThanOrEqual">
      <formula>0</formula>
    </cfRule>
    <cfRule type="cellIs" dxfId="961" priority="8" operator="between">
      <formula>1</formula>
      <formula>3</formula>
    </cfRule>
    <cfRule type="expression" dxfId="960" priority="9">
      <formula>AND(N15&gt;3,NOT(ISBLANK(N15)))</formula>
    </cfRule>
  </conditionalFormatting>
  <conditionalFormatting sqref="N25:N33">
    <cfRule type="cellIs" dxfId="959" priority="10" operator="lessThanOrEqual">
      <formula>0</formula>
    </cfRule>
    <cfRule type="cellIs" dxfId="958" priority="11" operator="between">
      <formula>1</formula>
      <formula>3</formula>
    </cfRule>
    <cfRule type="expression" dxfId="957" priority="12">
      <formula>AND(N25&gt;3,NOT(ISBLANK(N25)))</formula>
    </cfRule>
  </conditionalFormatting>
  <conditionalFormatting sqref="N35:N43">
    <cfRule type="cellIs" dxfId="956" priority="13" operator="lessThanOrEqual">
      <formula>0</formula>
    </cfRule>
    <cfRule type="cellIs" dxfId="955" priority="14" operator="between">
      <formula>1</formula>
      <formula>3</formula>
    </cfRule>
    <cfRule type="expression" dxfId="954" priority="15">
      <formula>AND(N35&gt;3,NOT(ISBLANK(N35)))</formula>
    </cfRule>
  </conditionalFormatting>
  <conditionalFormatting sqref="N45:N53">
    <cfRule type="cellIs" dxfId="953" priority="16" operator="lessThanOrEqual">
      <formula>0</formula>
    </cfRule>
    <cfRule type="cellIs" dxfId="952" priority="17" operator="between">
      <formula>1</formula>
      <formula>3</formula>
    </cfRule>
    <cfRule type="expression" dxfId="951" priority="18">
      <formula>AND(N45&gt;3,NOT(ISBLANK(N45)))</formula>
    </cfRule>
  </conditionalFormatting>
  <conditionalFormatting sqref="N55:N63">
    <cfRule type="cellIs" dxfId="950" priority="19" operator="lessThanOrEqual">
      <formula>0</formula>
    </cfRule>
    <cfRule type="cellIs" dxfId="949" priority="20" operator="between">
      <formula>1</formula>
      <formula>3</formula>
    </cfRule>
    <cfRule type="expression" dxfId="948" priority="21">
      <formula>AND(N55&gt;3,NOT(ISBLANK(N55)))</formula>
    </cfRule>
  </conditionalFormatting>
  <conditionalFormatting sqref="N65:N73">
    <cfRule type="cellIs" dxfId="947" priority="22" operator="lessThanOrEqual">
      <formula>0</formula>
    </cfRule>
    <cfRule type="cellIs" dxfId="946" priority="23" operator="between">
      <formula>1</formula>
      <formula>3</formula>
    </cfRule>
    <cfRule type="expression" dxfId="945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42" sqref="E42"/>
    </sheetView>
  </sheetViews>
  <sheetFormatPr defaultColWidth="11" defaultRowHeight="15.95"/>
  <cols>
    <col min="1" max="1" width="13.375" bestFit="1" customWidth="1"/>
    <col min="2" max="2" width="18.625" customWidth="1"/>
    <col min="3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2" t="s">
        <v>62</v>
      </c>
    </row>
    <row r="2" spans="1:37">
      <c r="A2" t="s">
        <v>25</v>
      </c>
      <c r="B2" s="12" t="s">
        <v>63</v>
      </c>
    </row>
    <row r="3" spans="1:37" ht="384">
      <c r="A3" s="1" t="s">
        <v>26</v>
      </c>
      <c r="B3" s="13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24.02.
  - 2 x Router
  - 1 x Switch
  - 6 x Laptops
  - 10 x iPad
  - 4 x Thermodrucker
  - 5 x Scanner
Mittwoch 25.02.
  - 2 x Router
  - 1 x Switch
  - 6 x Laptops
  - 10 x iPad
  - 4 x Thermodrucker
  - 5 x Scanner
Donnerstag 26.02
  - 2 x Router
  - 1 x Switch
  - 6 x Laptops
  - 10 x iPad
  - 4 x Thermodrucker
  - 5 x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64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65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2</v>
      </c>
      <c r="L15">
        <f t="shared" ref="L15:L23" si="2">SUM(B15:K15)</f>
        <v>2</v>
      </c>
      <c r="M15" s="5" t="s">
        <v>29</v>
      </c>
      <c r="N15">
        <f>Bestand!$F$13 -(L15)</f>
        <v>7</v>
      </c>
    </row>
    <row r="16" spans="1:37">
      <c r="A16" s="5" t="s">
        <v>23</v>
      </c>
      <c r="B16">
        <v>1</v>
      </c>
      <c r="L16">
        <f t="shared" si="2"/>
        <v>1</v>
      </c>
      <c r="M16" s="5" t="s">
        <v>23</v>
      </c>
      <c r="N16">
        <f>Bestand!$F$14 -(L16)</f>
        <v>6</v>
      </c>
    </row>
    <row r="17" spans="1:37">
      <c r="A17" s="5" t="s">
        <v>5</v>
      </c>
      <c r="B17">
        <v>6</v>
      </c>
      <c r="L17">
        <f t="shared" si="2"/>
        <v>6</v>
      </c>
      <c r="M17" s="5" t="s">
        <v>5</v>
      </c>
      <c r="N17">
        <f>Bestand!$F$2 -(L17)</f>
        <v>26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B20">
        <v>4</v>
      </c>
      <c r="L20">
        <f t="shared" si="2"/>
        <v>4</v>
      </c>
      <c r="M20" s="5" t="s">
        <v>15</v>
      </c>
      <c r="N20">
        <f>Bestand!$F$9 -(L20)</f>
        <v>8</v>
      </c>
    </row>
    <row r="21" spans="1:37">
      <c r="A21" s="5" t="s">
        <v>16</v>
      </c>
      <c r="B21">
        <v>5</v>
      </c>
      <c r="L21">
        <f t="shared" si="2"/>
        <v>5</v>
      </c>
      <c r="M21" s="5" t="s">
        <v>16</v>
      </c>
      <c r="N21">
        <f>Bestand!$F$10 -(L21)</f>
        <v>24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B23">
        <v>10</v>
      </c>
      <c r="L23">
        <f t="shared" si="2"/>
        <v>10</v>
      </c>
      <c r="M23" s="5" t="s">
        <v>19</v>
      </c>
      <c r="N23">
        <f>Bestand!$F$12 -(L23)</f>
        <v>21</v>
      </c>
    </row>
    <row r="24" spans="1:37" s="3" customFormat="1">
      <c r="A24" s="3" t="s">
        <v>66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2</v>
      </c>
      <c r="L25">
        <f t="shared" ref="L25:L33" si="3">SUM(B25:K25)</f>
        <v>2</v>
      </c>
      <c r="M25" s="5" t="s">
        <v>29</v>
      </c>
      <c r="N25">
        <f>Bestand!$F$13 -(L25)</f>
        <v>7</v>
      </c>
    </row>
    <row r="26" spans="1:37">
      <c r="A26" s="5" t="s">
        <v>23</v>
      </c>
      <c r="B26">
        <v>1</v>
      </c>
      <c r="L26">
        <f t="shared" si="3"/>
        <v>1</v>
      </c>
      <c r="M26" s="5" t="s">
        <v>23</v>
      </c>
      <c r="N26">
        <f>Bestand!$F$14 -(L26)</f>
        <v>6</v>
      </c>
    </row>
    <row r="27" spans="1:37">
      <c r="A27" s="5" t="s">
        <v>5</v>
      </c>
      <c r="B27">
        <v>6</v>
      </c>
      <c r="L27">
        <f t="shared" si="3"/>
        <v>6</v>
      </c>
      <c r="M27" s="5" t="s">
        <v>5</v>
      </c>
      <c r="N27">
        <f>Bestand!$F$2 -(L27)</f>
        <v>26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B30">
        <v>4</v>
      </c>
      <c r="L30">
        <f t="shared" si="3"/>
        <v>4</v>
      </c>
      <c r="M30" s="5" t="s">
        <v>15</v>
      </c>
      <c r="N30">
        <f>Bestand!$F$9 -(L30)</f>
        <v>8</v>
      </c>
    </row>
    <row r="31" spans="1:37">
      <c r="A31" s="5" t="s">
        <v>16</v>
      </c>
      <c r="B31">
        <v>5</v>
      </c>
      <c r="L31">
        <f t="shared" si="3"/>
        <v>5</v>
      </c>
      <c r="M31" s="5" t="s">
        <v>16</v>
      </c>
      <c r="N31">
        <f>Bestand!$F$10 -(L31)</f>
        <v>24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B33">
        <v>10</v>
      </c>
      <c r="L33">
        <f t="shared" si="3"/>
        <v>10</v>
      </c>
      <c r="M33" s="5" t="s">
        <v>19</v>
      </c>
      <c r="N33">
        <f>Bestand!$F$12 -(L33)</f>
        <v>21</v>
      </c>
    </row>
    <row r="34" spans="1:37" s="3" customFormat="1">
      <c r="A34" s="3" t="s">
        <v>67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B35">
        <v>2</v>
      </c>
      <c r="L35">
        <f t="shared" ref="L35:L43" si="4">SUM(B35:K35)</f>
        <v>2</v>
      </c>
      <c r="M35" s="5" t="s">
        <v>29</v>
      </c>
      <c r="N35">
        <f>Bestand!$F$13 -(L35)</f>
        <v>7</v>
      </c>
    </row>
    <row r="36" spans="1:37">
      <c r="A36" s="5" t="s">
        <v>23</v>
      </c>
      <c r="B36">
        <v>1</v>
      </c>
      <c r="L36">
        <f t="shared" si="4"/>
        <v>1</v>
      </c>
      <c r="M36" s="5" t="s">
        <v>23</v>
      </c>
      <c r="N36">
        <f>Bestand!$F$14 -(L36)</f>
        <v>6</v>
      </c>
    </row>
    <row r="37" spans="1:37">
      <c r="A37" s="5" t="s">
        <v>5</v>
      </c>
      <c r="B37">
        <v>6</v>
      </c>
      <c r="L37">
        <f t="shared" si="4"/>
        <v>6</v>
      </c>
      <c r="M37" s="5" t="s">
        <v>5</v>
      </c>
      <c r="N37">
        <f>Bestand!$F$2 -(L37)</f>
        <v>26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B40">
        <v>4</v>
      </c>
      <c r="L40">
        <f t="shared" si="4"/>
        <v>4</v>
      </c>
      <c r="M40" s="5" t="s">
        <v>15</v>
      </c>
      <c r="N40">
        <f>Bestand!$F$9 -(L40)</f>
        <v>8</v>
      </c>
    </row>
    <row r="41" spans="1:37">
      <c r="A41" s="5" t="s">
        <v>16</v>
      </c>
      <c r="B41">
        <v>5</v>
      </c>
      <c r="L41">
        <f t="shared" si="4"/>
        <v>5</v>
      </c>
      <c r="M41" s="5" t="s">
        <v>16</v>
      </c>
      <c r="N41">
        <f>Bestand!$F$10 -(L41)</f>
        <v>24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B43">
        <v>10</v>
      </c>
      <c r="L43">
        <f t="shared" si="4"/>
        <v>10</v>
      </c>
      <c r="M43" s="5" t="s">
        <v>19</v>
      </c>
      <c r="N43">
        <f>Bestand!$F$12 -(L43)</f>
        <v>21</v>
      </c>
    </row>
    <row r="44" spans="1:37" s="3" customFormat="1">
      <c r="A44" s="3" t="s">
        <v>68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69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70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944" priority="4" operator="lessThanOrEqual">
      <formula>0</formula>
    </cfRule>
    <cfRule type="cellIs" dxfId="943" priority="5" operator="between">
      <formula>1</formula>
      <formula>3</formula>
    </cfRule>
    <cfRule type="expression" dxfId="942" priority="6">
      <formula>AND(N5&gt;3,NOT(ISBLANK(N5)))</formula>
    </cfRule>
  </conditionalFormatting>
  <conditionalFormatting sqref="N15:N23">
    <cfRule type="cellIs" dxfId="941" priority="7" operator="lessThanOrEqual">
      <formula>0</formula>
    </cfRule>
    <cfRule type="cellIs" dxfId="940" priority="8" operator="between">
      <formula>1</formula>
      <formula>3</formula>
    </cfRule>
    <cfRule type="expression" dxfId="939" priority="9">
      <formula>AND(N15&gt;3,NOT(ISBLANK(N15)))</formula>
    </cfRule>
  </conditionalFormatting>
  <conditionalFormatting sqref="N25:N33">
    <cfRule type="cellIs" dxfId="938" priority="10" operator="lessThanOrEqual">
      <formula>0</formula>
    </cfRule>
    <cfRule type="cellIs" dxfId="937" priority="11" operator="between">
      <formula>1</formula>
      <formula>3</formula>
    </cfRule>
    <cfRule type="expression" dxfId="936" priority="12">
      <formula>AND(N25&gt;3,NOT(ISBLANK(N25)))</formula>
    </cfRule>
  </conditionalFormatting>
  <conditionalFormatting sqref="N35:N43">
    <cfRule type="cellIs" dxfId="935" priority="13" operator="lessThanOrEqual">
      <formula>0</formula>
    </cfRule>
    <cfRule type="cellIs" dxfId="934" priority="14" operator="between">
      <formula>1</formula>
      <formula>3</formula>
    </cfRule>
    <cfRule type="expression" dxfId="933" priority="15">
      <formula>AND(N35&gt;3,NOT(ISBLANK(N35)))</formula>
    </cfRule>
  </conditionalFormatting>
  <conditionalFormatting sqref="N45:N53">
    <cfRule type="cellIs" dxfId="932" priority="16" operator="lessThanOrEqual">
      <formula>0</formula>
    </cfRule>
    <cfRule type="cellIs" dxfId="931" priority="17" operator="between">
      <formula>1</formula>
      <formula>3</formula>
    </cfRule>
    <cfRule type="expression" dxfId="930" priority="18">
      <formula>AND(N45&gt;3,NOT(ISBLANK(N45)))</formula>
    </cfRule>
  </conditionalFormatting>
  <conditionalFormatting sqref="N55:N63">
    <cfRule type="cellIs" dxfId="929" priority="19" operator="lessThanOrEqual">
      <formula>0</formula>
    </cfRule>
    <cfRule type="cellIs" dxfId="928" priority="20" operator="between">
      <formula>1</formula>
      <formula>3</formula>
    </cfRule>
    <cfRule type="expression" dxfId="927" priority="21">
      <formula>AND(N55&gt;3,NOT(ISBLANK(N55)))</formula>
    </cfRule>
  </conditionalFormatting>
  <conditionalFormatting sqref="N65:N73">
    <cfRule type="cellIs" dxfId="926" priority="22" operator="lessThanOrEqual">
      <formula>0</formula>
    </cfRule>
    <cfRule type="cellIs" dxfId="925" priority="23" operator="between">
      <formula>1</formula>
      <formula>3</formula>
    </cfRule>
    <cfRule type="expression" dxfId="924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923" priority="4" operator="lessThanOrEqual">
      <formula>0</formula>
    </cfRule>
    <cfRule type="cellIs" dxfId="922" priority="5" operator="between">
      <formula>1</formula>
      <formula>3</formula>
    </cfRule>
    <cfRule type="expression" dxfId="921" priority="6">
      <formula>AND(N5&gt;3,NOT(ISBLANK(N5)))</formula>
    </cfRule>
  </conditionalFormatting>
  <conditionalFormatting sqref="N15:N23">
    <cfRule type="cellIs" dxfId="920" priority="7" operator="lessThanOrEqual">
      <formula>0</formula>
    </cfRule>
    <cfRule type="cellIs" dxfId="919" priority="8" operator="between">
      <formula>1</formula>
      <formula>3</formula>
    </cfRule>
    <cfRule type="expression" dxfId="918" priority="9">
      <formula>AND(N15&gt;3,NOT(ISBLANK(N15)))</formula>
    </cfRule>
  </conditionalFormatting>
  <conditionalFormatting sqref="N25:N33">
    <cfRule type="cellIs" dxfId="917" priority="10" operator="lessThanOrEqual">
      <formula>0</formula>
    </cfRule>
    <cfRule type="cellIs" dxfId="916" priority="11" operator="between">
      <formula>1</formula>
      <formula>3</formula>
    </cfRule>
    <cfRule type="expression" dxfId="915" priority="12">
      <formula>AND(N25&gt;3,NOT(ISBLANK(N25)))</formula>
    </cfRule>
  </conditionalFormatting>
  <conditionalFormatting sqref="N35:N43">
    <cfRule type="cellIs" dxfId="914" priority="13" operator="lessThanOrEqual">
      <formula>0</formula>
    </cfRule>
    <cfRule type="cellIs" dxfId="913" priority="14" operator="between">
      <formula>1</formula>
      <formula>3</formula>
    </cfRule>
    <cfRule type="expression" dxfId="912" priority="15">
      <formula>AND(N35&gt;3,NOT(ISBLANK(N35)))</formula>
    </cfRule>
  </conditionalFormatting>
  <conditionalFormatting sqref="N45:N53">
    <cfRule type="cellIs" dxfId="911" priority="16" operator="lessThanOrEqual">
      <formula>0</formula>
    </cfRule>
    <cfRule type="cellIs" dxfId="910" priority="17" operator="between">
      <formula>1</formula>
      <formula>3</formula>
    </cfRule>
    <cfRule type="expression" dxfId="909" priority="18">
      <formula>AND(N45&gt;3,NOT(ISBLANK(N45)))</formula>
    </cfRule>
  </conditionalFormatting>
  <conditionalFormatting sqref="N55:N63">
    <cfRule type="cellIs" dxfId="908" priority="19" operator="lessThanOrEqual">
      <formula>0</formula>
    </cfRule>
    <cfRule type="cellIs" dxfId="907" priority="20" operator="between">
      <formula>1</formula>
      <formula>3</formula>
    </cfRule>
    <cfRule type="expression" dxfId="906" priority="21">
      <formula>AND(N55&gt;3,NOT(ISBLANK(N55)))</formula>
    </cfRule>
  </conditionalFormatting>
  <conditionalFormatting sqref="N65:N73">
    <cfRule type="cellIs" dxfId="905" priority="22" operator="lessThanOrEqual">
      <formula>0</formula>
    </cfRule>
    <cfRule type="cellIs" dxfId="904" priority="23" operator="between">
      <formula>1</formula>
      <formula>3</formula>
    </cfRule>
    <cfRule type="expression" dxfId="903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73"/>
  <sheetViews>
    <sheetView workbookViewId="0">
      <selection activeCell="C3" sqref="C3"/>
    </sheetView>
  </sheetViews>
  <sheetFormatPr defaultColWidth="11" defaultRowHeight="15.95"/>
  <cols>
    <col min="1" max="1" width="13.375" bestFit="1" customWidth="1"/>
    <col min="2" max="2" width="21.5" customWidth="1"/>
    <col min="3" max="3" width="24" customWidth="1"/>
    <col min="4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2" t="s">
        <v>71</v>
      </c>
      <c r="C1" s="16" t="s">
        <v>72</v>
      </c>
    </row>
    <row r="2" spans="1:37" ht="12.75" customHeight="1">
      <c r="A2" t="s">
        <v>25</v>
      </c>
      <c r="B2" s="12" t="s">
        <v>73</v>
      </c>
      <c r="C2" s="16" t="s">
        <v>45</v>
      </c>
    </row>
    <row r="3" spans="1:37" ht="363.75" customHeight="1">
      <c r="A3" s="1" t="s">
        <v>26</v>
      </c>
      <c r="B3" s="13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10.03.
  - 1 x Router
  - 1 x Switch
  - 5 x Laptops
  - 4 x Kartendrucker
  - 1 x iPad
  - 5 x Scanner
Mittwoch 11.03.
  - 1 x Router
  - 1 x Switch
  - 5 x Laptops
  - 4 x Kartendrucker
  - 1 x iPad
  - 5 x Scanner
</v>
      </c>
      <c r="C3" s="17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 xml:space="preserve">Dienstag  10.03.
  - 1 x Router
  - 1 x Switch
  - 5 x Laptops
  - 4 x Kartendrucker
  - 1 x iPad
  - 5 x Scanner
Mittwoch 11.03.
  - 1 x Router
  - 1 x Switch
  - 5 x Laptops
  - 4 x Kartendrucker
  - 1 x iPad
  - 5 x Scanner
</v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74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75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1</v>
      </c>
      <c r="C15">
        <v>1</v>
      </c>
      <c r="L15">
        <f t="shared" ref="L15:L23" si="2">SUM(B15:K15)</f>
        <v>2</v>
      </c>
      <c r="M15" s="5" t="s">
        <v>29</v>
      </c>
      <c r="N15">
        <f>Bestand!$F$13 -(L15)</f>
        <v>7</v>
      </c>
    </row>
    <row r="16" spans="1:37">
      <c r="A16" s="5" t="s">
        <v>23</v>
      </c>
      <c r="B16">
        <v>1</v>
      </c>
      <c r="C16">
        <v>1</v>
      </c>
      <c r="L16">
        <f t="shared" si="2"/>
        <v>2</v>
      </c>
      <c r="M16" s="5" t="s">
        <v>23</v>
      </c>
      <c r="N16">
        <f>Bestand!$F$14 -(L16)</f>
        <v>5</v>
      </c>
    </row>
    <row r="17" spans="1:37">
      <c r="A17" s="5" t="s">
        <v>5</v>
      </c>
      <c r="B17">
        <v>5</v>
      </c>
      <c r="C17">
        <v>5</v>
      </c>
      <c r="L17">
        <f t="shared" si="2"/>
        <v>10</v>
      </c>
      <c r="M17" s="5" t="s">
        <v>5</v>
      </c>
      <c r="N17">
        <f>Bestand!$F$2 -(L17)</f>
        <v>22</v>
      </c>
    </row>
    <row r="18" spans="1:37">
      <c r="A18" s="5" t="s">
        <v>7</v>
      </c>
      <c r="B18">
        <v>4</v>
      </c>
      <c r="C18">
        <v>4</v>
      </c>
      <c r="L18">
        <f t="shared" si="2"/>
        <v>8</v>
      </c>
      <c r="M18" s="5" t="s">
        <v>7</v>
      </c>
      <c r="N18">
        <f>Bestand!$F$3 -(L18)</f>
        <v>4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B21">
        <v>5</v>
      </c>
      <c r="C21">
        <v>5</v>
      </c>
      <c r="L21">
        <f t="shared" si="2"/>
        <v>10</v>
      </c>
      <c r="M21" s="5" t="s">
        <v>16</v>
      </c>
      <c r="N21">
        <f>Bestand!$F$10 -(L21)</f>
        <v>19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B23">
        <v>1</v>
      </c>
      <c r="C23">
        <v>1</v>
      </c>
      <c r="L23">
        <f t="shared" si="2"/>
        <v>2</v>
      </c>
      <c r="M23" s="5" t="s">
        <v>19</v>
      </c>
      <c r="N23">
        <f>Bestand!$F$12 -(L23)</f>
        <v>29</v>
      </c>
    </row>
    <row r="24" spans="1:37" s="3" customFormat="1">
      <c r="A24" s="3" t="s">
        <v>76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1</v>
      </c>
      <c r="C25">
        <v>1</v>
      </c>
      <c r="L25">
        <f t="shared" ref="L25:L33" si="3">SUM(B25:K25)</f>
        <v>2</v>
      </c>
      <c r="M25" s="5" t="s">
        <v>29</v>
      </c>
      <c r="N25">
        <f>Bestand!$F$13 -(L25)</f>
        <v>7</v>
      </c>
    </row>
    <row r="26" spans="1:37">
      <c r="A26" s="5" t="s">
        <v>23</v>
      </c>
      <c r="B26">
        <v>1</v>
      </c>
      <c r="C26">
        <v>1</v>
      </c>
      <c r="L26">
        <f t="shared" si="3"/>
        <v>2</v>
      </c>
      <c r="M26" s="5" t="s">
        <v>23</v>
      </c>
      <c r="N26">
        <f>Bestand!$F$14 -(L26)</f>
        <v>5</v>
      </c>
    </row>
    <row r="27" spans="1:37">
      <c r="A27" s="5" t="s">
        <v>5</v>
      </c>
      <c r="B27">
        <v>5</v>
      </c>
      <c r="C27">
        <v>5</v>
      </c>
      <c r="L27">
        <f t="shared" si="3"/>
        <v>10</v>
      </c>
      <c r="M27" s="5" t="s">
        <v>5</v>
      </c>
      <c r="N27">
        <f>Bestand!$F$2 -(L27)</f>
        <v>22</v>
      </c>
    </row>
    <row r="28" spans="1:37">
      <c r="A28" s="5" t="s">
        <v>7</v>
      </c>
      <c r="B28">
        <v>4</v>
      </c>
      <c r="C28">
        <v>4</v>
      </c>
      <c r="L28">
        <f t="shared" si="3"/>
        <v>8</v>
      </c>
      <c r="M28" s="5" t="s">
        <v>7</v>
      </c>
      <c r="N28">
        <f>Bestand!$F$3 -(L28)</f>
        <v>4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B31">
        <v>5</v>
      </c>
      <c r="C31">
        <v>5</v>
      </c>
      <c r="L31">
        <f t="shared" si="3"/>
        <v>10</v>
      </c>
      <c r="M31" s="5" t="s">
        <v>16</v>
      </c>
      <c r="N31">
        <f>Bestand!$F$10 -(L31)</f>
        <v>19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B33">
        <v>1</v>
      </c>
      <c r="C33">
        <v>1</v>
      </c>
      <c r="L33">
        <f t="shared" si="3"/>
        <v>2</v>
      </c>
      <c r="M33" s="5" t="s">
        <v>19</v>
      </c>
      <c r="N33">
        <f>Bestand!$F$12 -(L33)</f>
        <v>29</v>
      </c>
    </row>
    <row r="34" spans="1:37" s="3" customFormat="1">
      <c r="A34" s="3" t="s">
        <v>77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78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79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80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902" priority="4" operator="lessThanOrEqual">
      <formula>0</formula>
    </cfRule>
    <cfRule type="cellIs" dxfId="901" priority="5" operator="between">
      <formula>1</formula>
      <formula>3</formula>
    </cfRule>
    <cfRule type="expression" dxfId="900" priority="6">
      <formula>AND(N5&gt;3,NOT(ISBLANK(N5)))</formula>
    </cfRule>
  </conditionalFormatting>
  <conditionalFormatting sqref="N15:N23">
    <cfRule type="cellIs" dxfId="899" priority="7" operator="lessThanOrEqual">
      <formula>0</formula>
    </cfRule>
    <cfRule type="cellIs" dxfId="898" priority="8" operator="between">
      <formula>1</formula>
      <formula>3</formula>
    </cfRule>
    <cfRule type="expression" dxfId="897" priority="9">
      <formula>AND(N15&gt;3,NOT(ISBLANK(N15)))</formula>
    </cfRule>
  </conditionalFormatting>
  <conditionalFormatting sqref="N25:N33">
    <cfRule type="cellIs" dxfId="896" priority="10" operator="lessThanOrEqual">
      <formula>0</formula>
    </cfRule>
    <cfRule type="cellIs" dxfId="895" priority="11" operator="between">
      <formula>1</formula>
      <formula>3</formula>
    </cfRule>
    <cfRule type="expression" dxfId="894" priority="12">
      <formula>AND(N25&gt;3,NOT(ISBLANK(N25)))</formula>
    </cfRule>
  </conditionalFormatting>
  <conditionalFormatting sqref="N35:N43">
    <cfRule type="cellIs" dxfId="893" priority="13" operator="lessThanOrEqual">
      <formula>0</formula>
    </cfRule>
    <cfRule type="cellIs" dxfId="892" priority="14" operator="between">
      <formula>1</formula>
      <formula>3</formula>
    </cfRule>
    <cfRule type="expression" dxfId="891" priority="15">
      <formula>AND(N35&gt;3,NOT(ISBLANK(N35)))</formula>
    </cfRule>
  </conditionalFormatting>
  <conditionalFormatting sqref="N45:N53">
    <cfRule type="cellIs" dxfId="890" priority="16" operator="lessThanOrEqual">
      <formula>0</formula>
    </cfRule>
    <cfRule type="cellIs" dxfId="889" priority="17" operator="between">
      <formula>1</formula>
      <formula>3</formula>
    </cfRule>
    <cfRule type="expression" dxfId="888" priority="18">
      <formula>AND(N45&gt;3,NOT(ISBLANK(N45)))</formula>
    </cfRule>
  </conditionalFormatting>
  <conditionalFormatting sqref="N55:N63">
    <cfRule type="cellIs" dxfId="887" priority="19" operator="lessThanOrEqual">
      <formula>0</formula>
    </cfRule>
    <cfRule type="cellIs" dxfId="886" priority="20" operator="between">
      <formula>1</formula>
      <formula>3</formula>
    </cfRule>
    <cfRule type="expression" dxfId="885" priority="21">
      <formula>AND(N55&gt;3,NOT(ISBLANK(N55)))</formula>
    </cfRule>
  </conditionalFormatting>
  <conditionalFormatting sqref="N65:N73">
    <cfRule type="cellIs" dxfId="884" priority="22" operator="lessThanOrEqual">
      <formula>0</formula>
    </cfRule>
    <cfRule type="cellIs" dxfId="883" priority="23" operator="between">
      <formula>1</formula>
      <formula>3</formula>
    </cfRule>
    <cfRule type="expression" dxfId="882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73"/>
  <sheetViews>
    <sheetView workbookViewId="0">
      <selection activeCell="N19" sqref="N19"/>
    </sheetView>
  </sheetViews>
  <sheetFormatPr defaultColWidth="11" defaultRowHeight="15.95"/>
  <cols>
    <col min="1" max="1" width="13.375" bestFit="1" customWidth="1"/>
    <col min="2" max="2" width="21.125" customWidth="1"/>
    <col min="3" max="3" width="15.625" customWidth="1"/>
    <col min="4" max="4" width="18.625" customWidth="1"/>
    <col min="5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6" t="s">
        <v>81</v>
      </c>
      <c r="C1" s="14" t="s">
        <v>82</v>
      </c>
      <c r="D1" s="18" t="s">
        <v>83</v>
      </c>
    </row>
    <row r="2" spans="1:37">
      <c r="A2" t="s">
        <v>25</v>
      </c>
      <c r="B2" s="16"/>
      <c r="C2" s="14"/>
      <c r="D2" s="18"/>
    </row>
    <row r="3" spans="1:37" ht="409.6">
      <c r="A3" s="1" t="s">
        <v>26</v>
      </c>
      <c r="B3" s="17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17.03.
  - 1 x Router
  - 1 x Switch
  - 3 x Laptops
  - 1 x iPad
  - 3 x Laserdrucker
  - 3 x Scanner
Mittwoch 18.03.
  - 1 x Router
  - 1 x Switch
  - 3 x Laptops
  - 1 x iPad
  - 3 x Laserdrucker
  - 3 x Scanner
Donnerstag 19.03
  - 1 x Router
  - 1 x Switch
  - 3 x Laptops
  - 1 x iPad
  - 3 x Laserdrucker
  - 3 x Scanner
</v>
      </c>
      <c r="C3" s="15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 xml:space="preserve">Freitag 20.03
  - 1 x Router
  - 1 x Laptops
  - 1 x iPad
  - 1 x Scanner
  - 7 x Handheld Scanner
</v>
      </c>
      <c r="D3" s="19" t="str">
        <f t="shared" si="0"/>
        <v xml:space="preserve">Montag  16.03.
  - 4 x Router
  - 2 x Switch
  - 20 x Laptops
  - 1 x iPad
  - 20 x Laserdrucker
  - 20 x Scanner
Dienstag  17.03.
  - 4 x Router
  - 2 x Switch
  - 20 x Laptops
  - 1 x iPad
  - 20 x Laserdrucker
  - 20 x Scanner
Mittwoch 18.03.
  - 4 x Router
  - 2 x Switch
  - 20 x Laptops
  - 1 x iPad
  - 20 x Laserdrucker
  - 20 x Scanner
</v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84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D5">
        <v>4</v>
      </c>
      <c r="L5">
        <f t="shared" ref="L5:L13" si="1">SUM(B5:K5)</f>
        <v>4</v>
      </c>
      <c r="M5" s="5" t="s">
        <v>29</v>
      </c>
      <c r="N5">
        <f>Bestand!$F$13 -(L5)</f>
        <v>5</v>
      </c>
    </row>
    <row r="6" spans="1:37">
      <c r="A6" s="5" t="s">
        <v>23</v>
      </c>
      <c r="D6">
        <v>2</v>
      </c>
      <c r="L6">
        <f t="shared" si="1"/>
        <v>2</v>
      </c>
      <c r="M6" s="5" t="s">
        <v>23</v>
      </c>
      <c r="N6">
        <f>Bestand!$F$14 -(L6)</f>
        <v>5</v>
      </c>
    </row>
    <row r="7" spans="1:37">
      <c r="A7" s="5" t="s">
        <v>5</v>
      </c>
      <c r="D7">
        <v>20</v>
      </c>
      <c r="L7">
        <f t="shared" si="1"/>
        <v>20</v>
      </c>
      <c r="M7" s="5" t="s">
        <v>5</v>
      </c>
      <c r="N7">
        <f>Bestand!$F$2 -(L7)</f>
        <v>12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D9">
        <v>20</v>
      </c>
      <c r="L9">
        <f t="shared" si="1"/>
        <v>20</v>
      </c>
      <c r="M9" s="5" t="s">
        <v>30</v>
      </c>
      <c r="N9">
        <f>Bestand!$F$8 -(L9)</f>
        <v>13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D11">
        <v>20</v>
      </c>
      <c r="L11">
        <f t="shared" si="1"/>
        <v>20</v>
      </c>
      <c r="M11" s="5" t="s">
        <v>16</v>
      </c>
      <c r="N11">
        <f>Bestand!$F$10 -(L11)</f>
        <v>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D13">
        <v>1</v>
      </c>
      <c r="L13">
        <f t="shared" si="1"/>
        <v>1</v>
      </c>
      <c r="M13" s="5" t="s">
        <v>19</v>
      </c>
      <c r="N13">
        <f>Bestand!$F$12 -(L13)</f>
        <v>30</v>
      </c>
    </row>
    <row r="14" spans="1:37" s="3" customFormat="1">
      <c r="A14" s="3" t="s">
        <v>85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1</v>
      </c>
      <c r="D15">
        <v>4</v>
      </c>
      <c r="L15">
        <f t="shared" ref="L15:L23" si="2">SUM(B15:K15)</f>
        <v>5</v>
      </c>
      <c r="M15" s="5" t="s">
        <v>29</v>
      </c>
      <c r="N15">
        <f>Bestand!$F$13 -(L15)</f>
        <v>4</v>
      </c>
    </row>
    <row r="16" spans="1:37">
      <c r="A16" s="5" t="s">
        <v>23</v>
      </c>
      <c r="B16">
        <v>1</v>
      </c>
      <c r="D16">
        <v>2</v>
      </c>
      <c r="L16">
        <f t="shared" si="2"/>
        <v>3</v>
      </c>
      <c r="M16" s="5" t="s">
        <v>23</v>
      </c>
      <c r="N16">
        <f>Bestand!$F$14 -(L16)</f>
        <v>4</v>
      </c>
    </row>
    <row r="17" spans="1:37">
      <c r="A17" s="5" t="s">
        <v>5</v>
      </c>
      <c r="B17">
        <v>3</v>
      </c>
      <c r="D17">
        <v>20</v>
      </c>
      <c r="L17">
        <f t="shared" si="2"/>
        <v>23</v>
      </c>
      <c r="M17" s="5" t="s">
        <v>5</v>
      </c>
      <c r="N17">
        <f>Bestand!$F$2 -(L17)</f>
        <v>9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B19">
        <v>3</v>
      </c>
      <c r="D19">
        <v>20</v>
      </c>
      <c r="L19">
        <f t="shared" si="2"/>
        <v>23</v>
      </c>
      <c r="M19" s="5" t="s">
        <v>30</v>
      </c>
      <c r="N19">
        <f>Bestand!$F$8 -(L19)</f>
        <v>10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B21">
        <v>3</v>
      </c>
      <c r="D21">
        <v>20</v>
      </c>
      <c r="L21">
        <f t="shared" si="2"/>
        <v>23</v>
      </c>
      <c r="M21" s="5" t="s">
        <v>16</v>
      </c>
      <c r="N21">
        <f>Bestand!$F$10 -(L21)</f>
        <v>6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B23">
        <v>1</v>
      </c>
      <c r="D23">
        <v>1</v>
      </c>
      <c r="L23">
        <f t="shared" si="2"/>
        <v>2</v>
      </c>
      <c r="M23" s="5" t="s">
        <v>19</v>
      </c>
      <c r="N23">
        <f>Bestand!$F$12 -(L23)</f>
        <v>29</v>
      </c>
    </row>
    <row r="24" spans="1:37" s="3" customFormat="1">
      <c r="A24" s="3" t="s">
        <v>86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1</v>
      </c>
      <c r="D25">
        <v>4</v>
      </c>
      <c r="L25">
        <f t="shared" ref="L25:L33" si="3">SUM(B25:K25)</f>
        <v>5</v>
      </c>
      <c r="M25" s="5" t="s">
        <v>29</v>
      </c>
      <c r="N25">
        <f>Bestand!$F$13 -(L25)</f>
        <v>4</v>
      </c>
    </row>
    <row r="26" spans="1:37">
      <c r="A26" s="5" t="s">
        <v>23</v>
      </c>
      <c r="B26">
        <v>1</v>
      </c>
      <c r="D26">
        <v>2</v>
      </c>
      <c r="L26">
        <f t="shared" si="3"/>
        <v>3</v>
      </c>
      <c r="M26" s="5" t="s">
        <v>23</v>
      </c>
      <c r="N26">
        <f>Bestand!$F$14 -(L26)</f>
        <v>4</v>
      </c>
    </row>
    <row r="27" spans="1:37">
      <c r="A27" s="5" t="s">
        <v>5</v>
      </c>
      <c r="B27">
        <v>3</v>
      </c>
      <c r="D27">
        <v>20</v>
      </c>
      <c r="L27">
        <f t="shared" si="3"/>
        <v>23</v>
      </c>
      <c r="M27" s="5" t="s">
        <v>5</v>
      </c>
      <c r="N27">
        <f>Bestand!$F$2 -(L27)</f>
        <v>9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B29">
        <v>3</v>
      </c>
      <c r="D29">
        <v>20</v>
      </c>
      <c r="L29">
        <f t="shared" si="3"/>
        <v>23</v>
      </c>
      <c r="M29" s="5" t="s">
        <v>30</v>
      </c>
      <c r="N29">
        <f>Bestand!$F$8 -(L29)</f>
        <v>10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B31">
        <v>3</v>
      </c>
      <c r="D31">
        <v>20</v>
      </c>
      <c r="L31">
        <f t="shared" si="3"/>
        <v>23</v>
      </c>
      <c r="M31" s="5" t="s">
        <v>16</v>
      </c>
      <c r="N31">
        <f>Bestand!$F$10 -(L31)</f>
        <v>6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B33">
        <v>1</v>
      </c>
      <c r="D33">
        <v>1</v>
      </c>
      <c r="L33">
        <f t="shared" si="3"/>
        <v>2</v>
      </c>
      <c r="M33" s="5" t="s">
        <v>19</v>
      </c>
      <c r="N33">
        <f>Bestand!$F$12 -(L33)</f>
        <v>29</v>
      </c>
    </row>
    <row r="34" spans="1:37" s="3" customFormat="1">
      <c r="A34" s="3" t="s">
        <v>87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B35">
        <v>1</v>
      </c>
      <c r="L35">
        <f t="shared" ref="L35:L43" si="4">SUM(B35:K35)</f>
        <v>1</v>
      </c>
      <c r="M35" s="5" t="s">
        <v>29</v>
      </c>
      <c r="N35">
        <f>Bestand!$F$13 -(L35)</f>
        <v>8</v>
      </c>
    </row>
    <row r="36" spans="1:37">
      <c r="A36" s="5" t="s">
        <v>23</v>
      </c>
      <c r="B36">
        <v>1</v>
      </c>
      <c r="L36">
        <f t="shared" si="4"/>
        <v>1</v>
      </c>
      <c r="M36" s="5" t="s">
        <v>23</v>
      </c>
      <c r="N36">
        <f>Bestand!$F$14 -(L36)</f>
        <v>6</v>
      </c>
    </row>
    <row r="37" spans="1:37">
      <c r="A37" s="5" t="s">
        <v>5</v>
      </c>
      <c r="B37">
        <v>3</v>
      </c>
      <c r="L37">
        <f t="shared" si="4"/>
        <v>3</v>
      </c>
      <c r="M37" s="5" t="s">
        <v>5</v>
      </c>
      <c r="N37">
        <f>Bestand!$F$2 -(L37)</f>
        <v>29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B39">
        <v>3</v>
      </c>
      <c r="L39">
        <f t="shared" si="4"/>
        <v>3</v>
      </c>
      <c r="M39" s="5" t="s">
        <v>30</v>
      </c>
      <c r="N39">
        <f>Bestand!$F$8 -(L39)</f>
        <v>30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B41">
        <v>3</v>
      </c>
      <c r="L41">
        <f t="shared" si="4"/>
        <v>3</v>
      </c>
      <c r="M41" s="5" t="s">
        <v>16</v>
      </c>
      <c r="N41">
        <f>Bestand!$F$10 -(L41)</f>
        <v>26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B43">
        <v>1</v>
      </c>
      <c r="L43">
        <f t="shared" si="4"/>
        <v>1</v>
      </c>
      <c r="M43" s="5" t="s">
        <v>19</v>
      </c>
      <c r="N43">
        <f>Bestand!$F$12 -(L43)</f>
        <v>30</v>
      </c>
    </row>
    <row r="44" spans="1:37" s="3" customFormat="1">
      <c r="A44" s="3" t="s">
        <v>88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>
        <v>1</v>
      </c>
      <c r="L45">
        <f t="shared" ref="L45:L53" si="5">SUM(B45:K45)</f>
        <v>1</v>
      </c>
      <c r="M45" s="5" t="s">
        <v>29</v>
      </c>
      <c r="N45">
        <f>Bestand!$F$13 -(L45)</f>
        <v>8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>
        <v>1</v>
      </c>
      <c r="L47">
        <f t="shared" si="5"/>
        <v>1</v>
      </c>
      <c r="M47" s="5" t="s">
        <v>5</v>
      </c>
      <c r="N47">
        <f>Bestand!$F$2 -(L47)</f>
        <v>31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>
        <v>1</v>
      </c>
      <c r="L51">
        <f t="shared" si="5"/>
        <v>1</v>
      </c>
      <c r="M51" s="5" t="s">
        <v>16</v>
      </c>
      <c r="N51">
        <f>Bestand!$F$10 -(L51)</f>
        <v>28</v>
      </c>
    </row>
    <row r="52" spans="1:37">
      <c r="A52" s="5" t="s">
        <v>31</v>
      </c>
      <c r="B52" s="7"/>
      <c r="C52" s="7">
        <v>7</v>
      </c>
      <c r="L52">
        <f t="shared" si="5"/>
        <v>7</v>
      </c>
      <c r="M52" s="5" t="s">
        <v>31</v>
      </c>
      <c r="N52">
        <f>Bestand!$F$11 -(L52)</f>
        <v>17</v>
      </c>
    </row>
    <row r="53" spans="1:37">
      <c r="A53" s="5" t="s">
        <v>19</v>
      </c>
      <c r="B53" s="7"/>
      <c r="C53" s="7">
        <v>1</v>
      </c>
      <c r="L53">
        <f t="shared" si="5"/>
        <v>1</v>
      </c>
      <c r="M53" s="5" t="s">
        <v>19</v>
      </c>
      <c r="N53">
        <f>Bestand!$F$12 -(L53)</f>
        <v>30</v>
      </c>
    </row>
    <row r="54" spans="1:37" s="3" customFormat="1">
      <c r="A54" s="3" t="s">
        <v>89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90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881" priority="4" operator="lessThanOrEqual">
      <formula>0</formula>
    </cfRule>
    <cfRule type="cellIs" dxfId="880" priority="5" operator="between">
      <formula>1</formula>
      <formula>3</formula>
    </cfRule>
    <cfRule type="expression" dxfId="879" priority="6">
      <formula>AND(N5&gt;3,NOT(ISBLANK(N5)))</formula>
    </cfRule>
  </conditionalFormatting>
  <conditionalFormatting sqref="N15:N23">
    <cfRule type="cellIs" dxfId="878" priority="7" operator="lessThanOrEqual">
      <formula>0</formula>
    </cfRule>
    <cfRule type="cellIs" dxfId="877" priority="8" operator="between">
      <formula>1</formula>
      <formula>3</formula>
    </cfRule>
    <cfRule type="expression" dxfId="876" priority="9">
      <formula>AND(N15&gt;3,NOT(ISBLANK(N15)))</formula>
    </cfRule>
  </conditionalFormatting>
  <conditionalFormatting sqref="N25:N33">
    <cfRule type="cellIs" dxfId="875" priority="10" operator="lessThanOrEqual">
      <formula>0</formula>
    </cfRule>
    <cfRule type="cellIs" dxfId="874" priority="11" operator="between">
      <formula>1</formula>
      <formula>3</formula>
    </cfRule>
    <cfRule type="expression" dxfId="873" priority="12">
      <formula>AND(N25&gt;3,NOT(ISBLANK(N25)))</formula>
    </cfRule>
  </conditionalFormatting>
  <conditionalFormatting sqref="N35:N43">
    <cfRule type="cellIs" dxfId="872" priority="13" operator="lessThanOrEqual">
      <formula>0</formula>
    </cfRule>
    <cfRule type="cellIs" dxfId="871" priority="14" operator="between">
      <formula>1</formula>
      <formula>3</formula>
    </cfRule>
    <cfRule type="expression" dxfId="870" priority="15">
      <formula>AND(N35&gt;3,NOT(ISBLANK(N35)))</formula>
    </cfRule>
  </conditionalFormatting>
  <conditionalFormatting sqref="N45:N53">
    <cfRule type="cellIs" dxfId="869" priority="16" operator="lessThanOrEqual">
      <formula>0</formula>
    </cfRule>
    <cfRule type="cellIs" dxfId="868" priority="17" operator="between">
      <formula>1</formula>
      <formula>3</formula>
    </cfRule>
    <cfRule type="expression" dxfId="867" priority="18">
      <formula>AND(N45&gt;3,NOT(ISBLANK(N45)))</formula>
    </cfRule>
  </conditionalFormatting>
  <conditionalFormatting sqref="N55:N63">
    <cfRule type="cellIs" dxfId="866" priority="19" operator="lessThanOrEqual">
      <formula>0</formula>
    </cfRule>
    <cfRule type="cellIs" dxfId="865" priority="20" operator="between">
      <formula>1</formula>
      <formula>3</formula>
    </cfRule>
    <cfRule type="expression" dxfId="864" priority="21">
      <formula>AND(N55&gt;3,NOT(ISBLANK(N55)))</formula>
    </cfRule>
  </conditionalFormatting>
  <conditionalFormatting sqref="N65:N73">
    <cfRule type="cellIs" dxfId="863" priority="22" operator="lessThanOrEqual">
      <formula>0</formula>
    </cfRule>
    <cfRule type="cellIs" dxfId="862" priority="23" operator="between">
      <formula>1</formula>
      <formula>3</formula>
    </cfRule>
    <cfRule type="expression" dxfId="861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73"/>
  <sheetViews>
    <sheetView topLeftCell="B1" workbookViewId="0">
      <selection activeCell="B3" sqref="B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860" priority="4" operator="lessThanOrEqual">
      <formula>0</formula>
    </cfRule>
    <cfRule type="cellIs" dxfId="859" priority="5" operator="between">
      <formula>1</formula>
      <formula>3</formula>
    </cfRule>
    <cfRule type="expression" dxfId="858" priority="6">
      <formula>AND(N5&gt;3,NOT(ISBLANK(N5)))</formula>
    </cfRule>
  </conditionalFormatting>
  <conditionalFormatting sqref="N15:N23">
    <cfRule type="cellIs" dxfId="857" priority="7" operator="lessThanOrEqual">
      <formula>0</formula>
    </cfRule>
    <cfRule type="cellIs" dxfId="856" priority="8" operator="between">
      <formula>1</formula>
      <formula>3</formula>
    </cfRule>
    <cfRule type="expression" dxfId="855" priority="9">
      <formula>AND(N15&gt;3,NOT(ISBLANK(N15)))</formula>
    </cfRule>
  </conditionalFormatting>
  <conditionalFormatting sqref="N25:N33">
    <cfRule type="cellIs" dxfId="854" priority="10" operator="lessThanOrEqual">
      <formula>0</formula>
    </cfRule>
    <cfRule type="cellIs" dxfId="853" priority="11" operator="between">
      <formula>1</formula>
      <formula>3</formula>
    </cfRule>
    <cfRule type="expression" dxfId="852" priority="12">
      <formula>AND(N25&gt;3,NOT(ISBLANK(N25)))</formula>
    </cfRule>
  </conditionalFormatting>
  <conditionalFormatting sqref="N35:N43">
    <cfRule type="cellIs" dxfId="851" priority="13" operator="lessThanOrEqual">
      <formula>0</formula>
    </cfRule>
    <cfRule type="cellIs" dxfId="850" priority="14" operator="between">
      <formula>1</formula>
      <formula>3</formula>
    </cfRule>
    <cfRule type="expression" dxfId="849" priority="15">
      <formula>AND(N35&gt;3,NOT(ISBLANK(N35)))</formula>
    </cfRule>
  </conditionalFormatting>
  <conditionalFormatting sqref="N45:N53">
    <cfRule type="cellIs" dxfId="848" priority="16" operator="lessThanOrEqual">
      <formula>0</formula>
    </cfRule>
    <cfRule type="cellIs" dxfId="847" priority="17" operator="between">
      <formula>1</formula>
      <formula>3</formula>
    </cfRule>
    <cfRule type="expression" dxfId="846" priority="18">
      <formula>AND(N45&gt;3,NOT(ISBLANK(N45)))</formula>
    </cfRule>
  </conditionalFormatting>
  <conditionalFormatting sqref="N55:N63">
    <cfRule type="cellIs" dxfId="845" priority="19" operator="lessThanOrEqual">
      <formula>0</formula>
    </cfRule>
    <cfRule type="cellIs" dxfId="844" priority="20" operator="between">
      <formula>1</formula>
      <formula>3</formula>
    </cfRule>
    <cfRule type="expression" dxfId="843" priority="21">
      <formula>AND(N55&gt;3,NOT(ISBLANK(N55)))</formula>
    </cfRule>
  </conditionalFormatting>
  <conditionalFormatting sqref="N65:N73">
    <cfRule type="cellIs" dxfId="842" priority="22" operator="lessThanOrEqual">
      <formula>0</formula>
    </cfRule>
    <cfRule type="cellIs" dxfId="841" priority="23" operator="between">
      <formula>1</formula>
      <formula>3</formula>
    </cfRule>
    <cfRule type="expression" dxfId="840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839" priority="4" operator="lessThanOrEqual">
      <formula>0</formula>
    </cfRule>
    <cfRule type="cellIs" dxfId="838" priority="5" operator="between">
      <formula>1</formula>
      <formula>3</formula>
    </cfRule>
    <cfRule type="expression" dxfId="837" priority="6">
      <formula>AND(N5&gt;3,NOT(ISBLANK(N5)))</formula>
    </cfRule>
  </conditionalFormatting>
  <conditionalFormatting sqref="N15:N23">
    <cfRule type="cellIs" dxfId="836" priority="7" operator="lessThanOrEqual">
      <formula>0</formula>
    </cfRule>
    <cfRule type="cellIs" dxfId="835" priority="8" operator="between">
      <formula>1</formula>
      <formula>3</formula>
    </cfRule>
    <cfRule type="expression" dxfId="834" priority="9">
      <formula>AND(N15&gt;3,NOT(ISBLANK(N15)))</formula>
    </cfRule>
  </conditionalFormatting>
  <conditionalFormatting sqref="N25:N33">
    <cfRule type="cellIs" dxfId="833" priority="10" operator="lessThanOrEqual">
      <formula>0</formula>
    </cfRule>
    <cfRule type="cellIs" dxfId="832" priority="11" operator="between">
      <formula>1</formula>
      <formula>3</formula>
    </cfRule>
    <cfRule type="expression" dxfId="831" priority="12">
      <formula>AND(N25&gt;3,NOT(ISBLANK(N25)))</formula>
    </cfRule>
  </conditionalFormatting>
  <conditionalFormatting sqref="N35:N43">
    <cfRule type="cellIs" dxfId="830" priority="13" operator="lessThanOrEqual">
      <formula>0</formula>
    </cfRule>
    <cfRule type="cellIs" dxfId="829" priority="14" operator="between">
      <formula>1</formula>
      <formula>3</formula>
    </cfRule>
    <cfRule type="expression" dxfId="828" priority="15">
      <formula>AND(N35&gt;3,NOT(ISBLANK(N35)))</formula>
    </cfRule>
  </conditionalFormatting>
  <conditionalFormatting sqref="N45:N53">
    <cfRule type="cellIs" dxfId="827" priority="16" operator="lessThanOrEqual">
      <formula>0</formula>
    </cfRule>
    <cfRule type="cellIs" dxfId="826" priority="17" operator="between">
      <formula>1</formula>
      <formula>3</formula>
    </cfRule>
    <cfRule type="expression" dxfId="825" priority="18">
      <formula>AND(N45&gt;3,NOT(ISBLANK(N45)))</formula>
    </cfRule>
  </conditionalFormatting>
  <conditionalFormatting sqref="N55:N63">
    <cfRule type="cellIs" dxfId="824" priority="19" operator="lessThanOrEqual">
      <formula>0</formula>
    </cfRule>
    <cfRule type="cellIs" dxfId="823" priority="20" operator="between">
      <formula>1</formula>
      <formula>3</formula>
    </cfRule>
    <cfRule type="expression" dxfId="822" priority="21">
      <formula>AND(N55&gt;3,NOT(ISBLANK(N55)))</formula>
    </cfRule>
  </conditionalFormatting>
  <conditionalFormatting sqref="N65:N73">
    <cfRule type="cellIs" dxfId="821" priority="22" operator="lessThanOrEqual">
      <formula>0</formula>
    </cfRule>
    <cfRule type="cellIs" dxfId="820" priority="23" operator="between">
      <formula>1</formula>
      <formula>3</formula>
    </cfRule>
    <cfRule type="expression" dxfId="819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818" priority="4" operator="lessThanOrEqual">
      <formula>0</formula>
    </cfRule>
    <cfRule type="cellIs" dxfId="817" priority="5" operator="between">
      <formula>1</formula>
      <formula>3</formula>
    </cfRule>
    <cfRule type="expression" dxfId="816" priority="6">
      <formula>AND(N5&gt;3,NOT(ISBLANK(N5)))</formula>
    </cfRule>
  </conditionalFormatting>
  <conditionalFormatting sqref="N15:N23">
    <cfRule type="cellIs" dxfId="815" priority="7" operator="lessThanOrEqual">
      <formula>0</formula>
    </cfRule>
    <cfRule type="cellIs" dxfId="814" priority="8" operator="between">
      <formula>1</formula>
      <formula>3</formula>
    </cfRule>
    <cfRule type="expression" dxfId="813" priority="9">
      <formula>AND(N15&gt;3,NOT(ISBLANK(N15)))</formula>
    </cfRule>
  </conditionalFormatting>
  <conditionalFormatting sqref="N25:N33">
    <cfRule type="cellIs" dxfId="812" priority="10" operator="lessThanOrEqual">
      <formula>0</formula>
    </cfRule>
    <cfRule type="cellIs" dxfId="811" priority="11" operator="between">
      <formula>1</formula>
      <formula>3</formula>
    </cfRule>
    <cfRule type="expression" dxfId="810" priority="12">
      <formula>AND(N25&gt;3,NOT(ISBLANK(N25)))</formula>
    </cfRule>
  </conditionalFormatting>
  <conditionalFormatting sqref="N35:N43">
    <cfRule type="cellIs" dxfId="809" priority="13" operator="lessThanOrEqual">
      <formula>0</formula>
    </cfRule>
    <cfRule type="cellIs" dxfId="808" priority="14" operator="between">
      <formula>1</formula>
      <formula>3</formula>
    </cfRule>
    <cfRule type="expression" dxfId="807" priority="15">
      <formula>AND(N35&gt;3,NOT(ISBLANK(N35)))</formula>
    </cfRule>
  </conditionalFormatting>
  <conditionalFormatting sqref="N45:N53">
    <cfRule type="cellIs" dxfId="806" priority="16" operator="lessThanOrEqual">
      <formula>0</formula>
    </cfRule>
    <cfRule type="cellIs" dxfId="805" priority="17" operator="between">
      <formula>1</formula>
      <formula>3</formula>
    </cfRule>
    <cfRule type="expression" dxfId="804" priority="18">
      <formula>AND(N45&gt;3,NOT(ISBLANK(N45)))</formula>
    </cfRule>
  </conditionalFormatting>
  <conditionalFormatting sqref="N55:N63">
    <cfRule type="cellIs" dxfId="803" priority="19" operator="lessThanOrEqual">
      <formula>0</formula>
    </cfRule>
    <cfRule type="cellIs" dxfId="802" priority="20" operator="between">
      <formula>1</formula>
      <formula>3</formula>
    </cfRule>
    <cfRule type="expression" dxfId="801" priority="21">
      <formula>AND(N55&gt;3,NOT(ISBLANK(N55)))</formula>
    </cfRule>
  </conditionalFormatting>
  <conditionalFormatting sqref="N65:N73">
    <cfRule type="cellIs" dxfId="800" priority="22" operator="lessThanOrEqual">
      <formula>0</formula>
    </cfRule>
    <cfRule type="cellIs" dxfId="799" priority="23" operator="between">
      <formula>1</formula>
      <formula>3</formula>
    </cfRule>
    <cfRule type="expression" dxfId="798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73"/>
  <sheetViews>
    <sheetView workbookViewId="0">
      <selection activeCell="C3" sqref="C3"/>
    </sheetView>
  </sheetViews>
  <sheetFormatPr defaultColWidth="11" defaultRowHeight="15.95"/>
  <cols>
    <col min="1" max="1" width="13.375" bestFit="1" customWidth="1"/>
    <col min="2" max="2" width="20.875" customWidth="1"/>
    <col min="3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0" t="s">
        <v>44</v>
      </c>
    </row>
    <row r="2" spans="1:37">
      <c r="A2" t="s">
        <v>25</v>
      </c>
      <c r="B2" s="10"/>
    </row>
    <row r="3" spans="1:37" ht="242.1" customHeight="1">
      <c r="A3" s="1" t="s">
        <v>26</v>
      </c>
      <c r="B3" s="11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Samstag  18.04.
  - 1 x Router
  - 4 x Laptops
  - 1 x iPad
  - 4 x Scanner
  - 4 x Handheld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91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92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93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94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95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96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B55">
        <v>1</v>
      </c>
      <c r="C55" s="7"/>
      <c r="L55">
        <f t="shared" ref="L55:L63" si="6">SUM(B55:K55)</f>
        <v>1</v>
      </c>
      <c r="M55" s="5" t="s">
        <v>29</v>
      </c>
      <c r="N55">
        <f>Bestand!$F$13 -(L55)</f>
        <v>8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B57">
        <v>4</v>
      </c>
      <c r="C57" s="7"/>
      <c r="L57">
        <f t="shared" si="6"/>
        <v>4</v>
      </c>
      <c r="M57" s="5" t="s">
        <v>5</v>
      </c>
      <c r="N57">
        <f>Bestand!$F$2 -(L57)</f>
        <v>28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B61">
        <v>4</v>
      </c>
      <c r="C61" s="7"/>
      <c r="L61">
        <f t="shared" si="6"/>
        <v>4</v>
      </c>
      <c r="M61" s="5" t="s">
        <v>16</v>
      </c>
      <c r="N61">
        <f>Bestand!$F$10 -(L61)</f>
        <v>25</v>
      </c>
    </row>
    <row r="62" spans="1:37">
      <c r="A62" s="5" t="s">
        <v>31</v>
      </c>
      <c r="B62">
        <v>4</v>
      </c>
      <c r="C62" s="7"/>
      <c r="L62">
        <f t="shared" si="6"/>
        <v>4</v>
      </c>
      <c r="M62" s="5" t="s">
        <v>31</v>
      </c>
      <c r="N62">
        <f>Bestand!$F$11 -(L62)</f>
        <v>20</v>
      </c>
    </row>
    <row r="63" spans="1:37">
      <c r="A63" s="5" t="s">
        <v>19</v>
      </c>
      <c r="B63">
        <v>1</v>
      </c>
      <c r="C63" s="7"/>
      <c r="L63">
        <f t="shared" si="6"/>
        <v>1</v>
      </c>
      <c r="M63" s="5" t="s">
        <v>19</v>
      </c>
      <c r="N63">
        <f>Bestand!$F$12 -(L63)</f>
        <v>30</v>
      </c>
    </row>
    <row r="64" spans="1:37" s="3" customFormat="1">
      <c r="A64" s="3" t="s">
        <v>97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797" priority="4" operator="lessThanOrEqual">
      <formula>0</formula>
    </cfRule>
    <cfRule type="cellIs" dxfId="796" priority="5" operator="between">
      <formula>1</formula>
      <formula>3</formula>
    </cfRule>
    <cfRule type="expression" dxfId="795" priority="6">
      <formula>AND(N5&gt;3,NOT(ISBLANK(N5)))</formula>
    </cfRule>
  </conditionalFormatting>
  <conditionalFormatting sqref="N15:N23">
    <cfRule type="cellIs" dxfId="794" priority="7" operator="lessThanOrEqual">
      <formula>0</formula>
    </cfRule>
    <cfRule type="cellIs" dxfId="793" priority="8" operator="between">
      <formula>1</formula>
      <formula>3</formula>
    </cfRule>
    <cfRule type="expression" dxfId="792" priority="9">
      <formula>AND(N15&gt;3,NOT(ISBLANK(N15)))</formula>
    </cfRule>
  </conditionalFormatting>
  <conditionalFormatting sqref="N25:N33">
    <cfRule type="cellIs" dxfId="791" priority="10" operator="lessThanOrEqual">
      <formula>0</formula>
    </cfRule>
    <cfRule type="cellIs" dxfId="790" priority="11" operator="between">
      <formula>1</formula>
      <formula>3</formula>
    </cfRule>
    <cfRule type="expression" dxfId="789" priority="12">
      <formula>AND(N25&gt;3,NOT(ISBLANK(N25)))</formula>
    </cfRule>
  </conditionalFormatting>
  <conditionalFormatting sqref="N35:N43">
    <cfRule type="cellIs" dxfId="788" priority="13" operator="lessThanOrEqual">
      <formula>0</formula>
    </cfRule>
    <cfRule type="cellIs" dxfId="787" priority="14" operator="between">
      <formula>1</formula>
      <formula>3</formula>
    </cfRule>
    <cfRule type="expression" dxfId="786" priority="15">
      <formula>AND(N35&gt;3,NOT(ISBLANK(N35)))</formula>
    </cfRule>
  </conditionalFormatting>
  <conditionalFormatting sqref="N45:N53">
    <cfRule type="cellIs" dxfId="785" priority="16" operator="lessThanOrEqual">
      <formula>0</formula>
    </cfRule>
    <cfRule type="cellIs" dxfId="784" priority="17" operator="between">
      <formula>1</formula>
      <formula>3</formula>
    </cfRule>
    <cfRule type="expression" dxfId="783" priority="18">
      <formula>AND(N45&gt;3,NOT(ISBLANK(N45)))</formula>
    </cfRule>
  </conditionalFormatting>
  <conditionalFormatting sqref="N55:N63">
    <cfRule type="cellIs" dxfId="782" priority="19" operator="lessThanOrEqual">
      <formula>0</formula>
    </cfRule>
    <cfRule type="cellIs" dxfId="781" priority="20" operator="between">
      <formula>1</formula>
      <formula>3</formula>
    </cfRule>
    <cfRule type="expression" dxfId="780" priority="21">
      <formula>AND(N55&gt;3,NOT(ISBLANK(N55)))</formula>
    </cfRule>
  </conditionalFormatting>
  <conditionalFormatting sqref="N65:N73">
    <cfRule type="cellIs" dxfId="779" priority="22" operator="lessThanOrEqual">
      <formula>0</formula>
    </cfRule>
    <cfRule type="cellIs" dxfId="778" priority="23" operator="between">
      <formula>1</formula>
      <formula>3</formula>
    </cfRule>
    <cfRule type="expression" dxfId="777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776" priority="4" operator="lessThanOrEqual">
      <formula>0</formula>
    </cfRule>
    <cfRule type="cellIs" dxfId="775" priority="5" operator="between">
      <formula>1</formula>
      <formula>3</formula>
    </cfRule>
    <cfRule type="expression" dxfId="774" priority="6">
      <formula>AND(N5&gt;3,NOT(ISBLANK(N5)))</formula>
    </cfRule>
  </conditionalFormatting>
  <conditionalFormatting sqref="N15:N23">
    <cfRule type="cellIs" dxfId="773" priority="7" operator="lessThanOrEqual">
      <formula>0</formula>
    </cfRule>
    <cfRule type="cellIs" dxfId="772" priority="8" operator="between">
      <formula>1</formula>
      <formula>3</formula>
    </cfRule>
    <cfRule type="expression" dxfId="771" priority="9">
      <formula>AND(N15&gt;3,NOT(ISBLANK(N15)))</formula>
    </cfRule>
  </conditionalFormatting>
  <conditionalFormatting sqref="N25:N33">
    <cfRule type="cellIs" dxfId="770" priority="10" operator="lessThanOrEqual">
      <formula>0</formula>
    </cfRule>
    <cfRule type="cellIs" dxfId="769" priority="11" operator="between">
      <formula>1</formula>
      <formula>3</formula>
    </cfRule>
    <cfRule type="expression" dxfId="768" priority="12">
      <formula>AND(N25&gt;3,NOT(ISBLANK(N25)))</formula>
    </cfRule>
  </conditionalFormatting>
  <conditionalFormatting sqref="N35:N43">
    <cfRule type="cellIs" dxfId="767" priority="13" operator="lessThanOrEqual">
      <formula>0</formula>
    </cfRule>
    <cfRule type="cellIs" dxfId="766" priority="14" operator="between">
      <formula>1</formula>
      <formula>3</formula>
    </cfRule>
    <cfRule type="expression" dxfId="765" priority="15">
      <formula>AND(N35&gt;3,NOT(ISBLANK(N35)))</formula>
    </cfRule>
  </conditionalFormatting>
  <conditionalFormatting sqref="N45:N53">
    <cfRule type="cellIs" dxfId="764" priority="16" operator="lessThanOrEqual">
      <formula>0</formula>
    </cfRule>
    <cfRule type="cellIs" dxfId="763" priority="17" operator="between">
      <formula>1</formula>
      <formula>3</formula>
    </cfRule>
    <cfRule type="expression" dxfId="762" priority="18">
      <formula>AND(N45&gt;3,NOT(ISBLANK(N45)))</formula>
    </cfRule>
  </conditionalFormatting>
  <conditionalFormatting sqref="N55:N63">
    <cfRule type="cellIs" dxfId="761" priority="19" operator="lessThanOrEqual">
      <formula>0</formula>
    </cfRule>
    <cfRule type="cellIs" dxfId="760" priority="20" operator="between">
      <formula>1</formula>
      <formula>3</formula>
    </cfRule>
    <cfRule type="expression" dxfId="759" priority="21">
      <formula>AND(N55&gt;3,NOT(ISBLANK(N55)))</formula>
    </cfRule>
  </conditionalFormatting>
  <conditionalFormatting sqref="N65:N73">
    <cfRule type="cellIs" dxfId="758" priority="22" operator="lessThanOrEqual">
      <formula>0</formula>
    </cfRule>
    <cfRule type="cellIs" dxfId="757" priority="23" operator="between">
      <formula>1</formula>
      <formula>3</formula>
    </cfRule>
    <cfRule type="expression" dxfId="756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73"/>
  <sheetViews>
    <sheetView workbookViewId="0">
      <selection activeCell="E3" sqref="E3"/>
    </sheetView>
  </sheetViews>
  <sheetFormatPr defaultColWidth="11" defaultRowHeight="15.95"/>
  <cols>
    <col min="1" max="1" width="13.375" bestFit="1" customWidth="1"/>
    <col min="2" max="2" width="18.625" customWidth="1"/>
    <col min="3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2" t="s">
        <v>98</v>
      </c>
    </row>
    <row r="2" spans="1:37">
      <c r="A2" t="s">
        <v>25</v>
      </c>
      <c r="B2" s="12"/>
    </row>
    <row r="3" spans="1:37" ht="270" customHeight="1">
      <c r="A3" s="1" t="s">
        <v>26</v>
      </c>
      <c r="B3" s="13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Sonnatg 03.05.
  - 2 x Router
  - 21 x Laptops
  - 22 x iPad
  - 9 x Laserdrucker
  - 6 x Handheld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99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100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101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102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103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104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105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B65">
        <v>2</v>
      </c>
      <c r="L65">
        <f t="shared" ref="L65:L73" si="7">SUM(B65:K65)</f>
        <v>2</v>
      </c>
      <c r="M65" s="5" t="s">
        <v>29</v>
      </c>
      <c r="N65">
        <f>Bestand!$F$13 -(L65)</f>
        <v>7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B67">
        <v>21</v>
      </c>
      <c r="L67">
        <f t="shared" si="7"/>
        <v>21</v>
      </c>
      <c r="M67" s="5" t="s">
        <v>5</v>
      </c>
      <c r="N67">
        <f>Bestand!$F$2 -(L67)</f>
        <v>11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B69">
        <v>9</v>
      </c>
      <c r="L69">
        <f t="shared" si="7"/>
        <v>9</v>
      </c>
      <c r="M69" s="5" t="s">
        <v>30</v>
      </c>
      <c r="N69">
        <f>Bestand!$F$8 -(L69)</f>
        <v>24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B72">
        <v>6</v>
      </c>
      <c r="L72">
        <f t="shared" si="7"/>
        <v>6</v>
      </c>
      <c r="M72" s="5" t="s">
        <v>31</v>
      </c>
      <c r="N72">
        <f>Bestand!$F$11 -(L72)</f>
        <v>18</v>
      </c>
    </row>
    <row r="73" spans="1:14">
      <c r="A73" s="5" t="s">
        <v>19</v>
      </c>
      <c r="B73">
        <v>22</v>
      </c>
      <c r="L73">
        <f t="shared" si="7"/>
        <v>22</v>
      </c>
      <c r="M73" s="5" t="s">
        <v>19</v>
      </c>
      <c r="N73">
        <f>Bestand!$F$12 -(L73)</f>
        <v>9</v>
      </c>
    </row>
  </sheetData>
  <conditionalFormatting sqref="N5:N13">
    <cfRule type="cellIs" dxfId="755" priority="4" operator="lessThanOrEqual">
      <formula>0</formula>
    </cfRule>
    <cfRule type="cellIs" dxfId="754" priority="5" operator="between">
      <formula>1</formula>
      <formula>3</formula>
    </cfRule>
    <cfRule type="expression" dxfId="753" priority="6">
      <formula>AND(N5&gt;3,NOT(ISBLANK(N5)))</formula>
    </cfRule>
  </conditionalFormatting>
  <conditionalFormatting sqref="N15:N23">
    <cfRule type="cellIs" dxfId="752" priority="7" operator="lessThanOrEqual">
      <formula>0</formula>
    </cfRule>
    <cfRule type="cellIs" dxfId="751" priority="8" operator="between">
      <formula>1</formula>
      <formula>3</formula>
    </cfRule>
    <cfRule type="expression" dxfId="750" priority="9">
      <formula>AND(N15&gt;3,NOT(ISBLANK(N15)))</formula>
    </cfRule>
  </conditionalFormatting>
  <conditionalFormatting sqref="N25:N33">
    <cfRule type="cellIs" dxfId="749" priority="10" operator="lessThanOrEqual">
      <formula>0</formula>
    </cfRule>
    <cfRule type="cellIs" dxfId="748" priority="11" operator="between">
      <formula>1</formula>
      <formula>3</formula>
    </cfRule>
    <cfRule type="expression" dxfId="747" priority="12">
      <formula>AND(N25&gt;3,NOT(ISBLANK(N25)))</formula>
    </cfRule>
  </conditionalFormatting>
  <conditionalFormatting sqref="N35:N43">
    <cfRule type="cellIs" dxfId="746" priority="13" operator="lessThanOrEqual">
      <formula>0</formula>
    </cfRule>
    <cfRule type="cellIs" dxfId="745" priority="14" operator="between">
      <formula>1</formula>
      <formula>3</formula>
    </cfRule>
    <cfRule type="expression" dxfId="744" priority="15">
      <formula>AND(N35&gt;3,NOT(ISBLANK(N35)))</formula>
    </cfRule>
  </conditionalFormatting>
  <conditionalFormatting sqref="N45:N53">
    <cfRule type="cellIs" dxfId="743" priority="16" operator="lessThanOrEqual">
      <formula>0</formula>
    </cfRule>
    <cfRule type="cellIs" dxfId="742" priority="17" operator="between">
      <formula>1</formula>
      <formula>3</formula>
    </cfRule>
    <cfRule type="expression" dxfId="741" priority="18">
      <formula>AND(N45&gt;3,NOT(ISBLANK(N45)))</formula>
    </cfRule>
  </conditionalFormatting>
  <conditionalFormatting sqref="N55:N63">
    <cfRule type="cellIs" dxfId="740" priority="19" operator="lessThanOrEqual">
      <formula>0</formula>
    </cfRule>
    <cfRule type="cellIs" dxfId="739" priority="20" operator="between">
      <formula>1</formula>
      <formula>3</formula>
    </cfRule>
    <cfRule type="expression" dxfId="738" priority="21">
      <formula>AND(N55&gt;3,NOT(ISBLANK(N55)))</formula>
    </cfRule>
  </conditionalFormatting>
  <conditionalFormatting sqref="N65:N73">
    <cfRule type="cellIs" dxfId="737" priority="22" operator="lessThanOrEqual">
      <formula>0</formula>
    </cfRule>
    <cfRule type="cellIs" dxfId="736" priority="23" operator="between">
      <formula>1</formula>
      <formula>3</formula>
    </cfRule>
    <cfRule type="expression" dxfId="735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73"/>
  <sheetViews>
    <sheetView workbookViewId="0">
      <selection activeCell="C3" sqref="C3"/>
    </sheetView>
  </sheetViews>
  <sheetFormatPr defaultColWidth="11" defaultRowHeight="15.95"/>
  <cols>
    <col min="1" max="1" width="13.375" bestFit="1" customWidth="1"/>
    <col min="2" max="2" width="22.125" customWidth="1"/>
    <col min="3" max="3" width="22.5" customWidth="1"/>
    <col min="4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6" t="s">
        <v>106</v>
      </c>
      <c r="C1" s="12" t="s">
        <v>107</v>
      </c>
    </row>
    <row r="2" spans="1:37">
      <c r="A2" t="s">
        <v>25</v>
      </c>
      <c r="B2" s="16" t="s">
        <v>63</v>
      </c>
      <c r="C2" s="12"/>
    </row>
    <row r="3" spans="1:37" ht="322.5" customHeight="1">
      <c r="A3" s="1" t="s">
        <v>26</v>
      </c>
      <c r="B3" s="17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05.05.
  - 1 x Router
  - 1 x Switch
  - 4 x Laptops
  - 1 x iPad
  - 4 x Thermodrucker
  - 4 x Scanner
  - 5 x Handheld Scanner
Mittwoch 06.05.
  - 1 x Router
  - 1 x Switch
  - 4 x Laptops
  - 1 x iPad
  - 4 x Thermodrucker
  - 4 x Scanner
  - 5 x Handheld Scanner
</v>
      </c>
      <c r="C3" s="13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 xml:space="preserve">Montag  04.05.
  - 2 x Router
  - 21 x Laptops
  - 22 x iPad
  - 9 x Laserdrucker
  - 6 x Handheld Scanner
</v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108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C5">
        <v>2</v>
      </c>
      <c r="L5">
        <f t="shared" ref="L5:L13" si="1">SUM(B5:K5)</f>
        <v>2</v>
      </c>
      <c r="M5" s="5" t="s">
        <v>29</v>
      </c>
      <c r="N5">
        <f>Bestand!$F$13 -(L5)</f>
        <v>7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C7">
        <v>21</v>
      </c>
      <c r="L7">
        <f t="shared" si="1"/>
        <v>21</v>
      </c>
      <c r="M7" s="5" t="s">
        <v>5</v>
      </c>
      <c r="N7">
        <f>Bestand!$F$2 -(L7)</f>
        <v>11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C9">
        <v>9</v>
      </c>
      <c r="L9">
        <f t="shared" si="1"/>
        <v>9</v>
      </c>
      <c r="M9" s="5" t="s">
        <v>30</v>
      </c>
      <c r="N9">
        <f>Bestand!$F$8 -(L9)</f>
        <v>24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C12">
        <v>6</v>
      </c>
      <c r="L12">
        <f t="shared" si="1"/>
        <v>6</v>
      </c>
      <c r="M12" s="5" t="s">
        <v>31</v>
      </c>
      <c r="N12">
        <f>Bestand!$F$11 -(L12)</f>
        <v>18</v>
      </c>
    </row>
    <row r="13" spans="1:37">
      <c r="A13" s="5" t="s">
        <v>19</v>
      </c>
      <c r="C13">
        <v>22</v>
      </c>
      <c r="L13">
        <f t="shared" si="1"/>
        <v>22</v>
      </c>
      <c r="M13" s="5" t="s">
        <v>19</v>
      </c>
      <c r="N13">
        <f>Bestand!$F$12 -(L13)</f>
        <v>9</v>
      </c>
    </row>
    <row r="14" spans="1:37" s="3" customFormat="1">
      <c r="A14" s="3" t="s">
        <v>109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1</v>
      </c>
      <c r="L15">
        <f t="shared" ref="L15:L23" si="2">SUM(B15:K15)</f>
        <v>1</v>
      </c>
      <c r="M15" s="5" t="s">
        <v>29</v>
      </c>
      <c r="N15">
        <f>Bestand!$F$13 -(L15)</f>
        <v>8</v>
      </c>
    </row>
    <row r="16" spans="1:37">
      <c r="A16" s="5" t="s">
        <v>23</v>
      </c>
      <c r="B16">
        <v>1</v>
      </c>
      <c r="L16">
        <f t="shared" si="2"/>
        <v>1</v>
      </c>
      <c r="M16" s="5" t="s">
        <v>23</v>
      </c>
      <c r="N16">
        <f>Bestand!$F$14 -(L16)</f>
        <v>6</v>
      </c>
    </row>
    <row r="17" spans="1:37">
      <c r="A17" s="5" t="s">
        <v>5</v>
      </c>
      <c r="B17">
        <v>4</v>
      </c>
      <c r="L17">
        <f t="shared" si="2"/>
        <v>4</v>
      </c>
      <c r="M17" s="5" t="s">
        <v>5</v>
      </c>
      <c r="N17">
        <f>Bestand!$F$2 -(L17)</f>
        <v>28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B20">
        <v>4</v>
      </c>
      <c r="L20">
        <f t="shared" si="2"/>
        <v>4</v>
      </c>
      <c r="M20" s="5" t="s">
        <v>15</v>
      </c>
      <c r="N20">
        <f>Bestand!$F$9 -(L20)</f>
        <v>8</v>
      </c>
    </row>
    <row r="21" spans="1:37">
      <c r="A21" s="5" t="s">
        <v>16</v>
      </c>
      <c r="B21">
        <v>4</v>
      </c>
      <c r="L21">
        <f t="shared" si="2"/>
        <v>4</v>
      </c>
      <c r="M21" s="5" t="s">
        <v>16</v>
      </c>
      <c r="N21">
        <f>Bestand!$F$10 -(L21)</f>
        <v>25</v>
      </c>
    </row>
    <row r="22" spans="1:37">
      <c r="A22" s="5" t="s">
        <v>31</v>
      </c>
      <c r="B22">
        <v>5</v>
      </c>
      <c r="L22">
        <f t="shared" si="2"/>
        <v>5</v>
      </c>
      <c r="M22" s="5" t="s">
        <v>31</v>
      </c>
      <c r="N22">
        <f>Bestand!$F$11 -(L22)</f>
        <v>19</v>
      </c>
    </row>
    <row r="23" spans="1:37">
      <c r="A23" s="5" t="s">
        <v>19</v>
      </c>
      <c r="B23">
        <v>1</v>
      </c>
      <c r="L23">
        <f t="shared" si="2"/>
        <v>1</v>
      </c>
      <c r="M23" s="5" t="s">
        <v>19</v>
      </c>
      <c r="N23">
        <f>Bestand!$F$12 -(L23)</f>
        <v>30</v>
      </c>
    </row>
    <row r="24" spans="1:37" s="3" customFormat="1">
      <c r="A24" s="3" t="s">
        <v>110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1</v>
      </c>
      <c r="L25">
        <f t="shared" ref="L25:L33" si="3">SUM(B25:K25)</f>
        <v>1</v>
      </c>
      <c r="M25" s="5" t="s">
        <v>29</v>
      </c>
      <c r="N25">
        <f>Bestand!$F$13 -(L25)</f>
        <v>8</v>
      </c>
    </row>
    <row r="26" spans="1:37">
      <c r="A26" s="5" t="s">
        <v>23</v>
      </c>
      <c r="B26">
        <v>1</v>
      </c>
      <c r="L26">
        <f t="shared" si="3"/>
        <v>1</v>
      </c>
      <c r="M26" s="5" t="s">
        <v>23</v>
      </c>
      <c r="N26">
        <f>Bestand!$F$14 -(L26)</f>
        <v>6</v>
      </c>
    </row>
    <row r="27" spans="1:37">
      <c r="A27" s="5" t="s">
        <v>5</v>
      </c>
      <c r="B27">
        <v>4</v>
      </c>
      <c r="L27">
        <f t="shared" si="3"/>
        <v>4</v>
      </c>
      <c r="M27" s="5" t="s">
        <v>5</v>
      </c>
      <c r="N27">
        <f>Bestand!$F$2 -(L27)</f>
        <v>28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B30">
        <v>4</v>
      </c>
      <c r="L30">
        <f t="shared" si="3"/>
        <v>4</v>
      </c>
      <c r="M30" s="5" t="s">
        <v>15</v>
      </c>
      <c r="N30">
        <f>Bestand!$F$9 -(L30)</f>
        <v>8</v>
      </c>
    </row>
    <row r="31" spans="1:37">
      <c r="A31" s="5" t="s">
        <v>16</v>
      </c>
      <c r="B31">
        <v>4</v>
      </c>
      <c r="L31">
        <f t="shared" si="3"/>
        <v>4</v>
      </c>
      <c r="M31" s="5" t="s">
        <v>16</v>
      </c>
      <c r="N31">
        <f>Bestand!$F$10 -(L31)</f>
        <v>25</v>
      </c>
    </row>
    <row r="32" spans="1:37">
      <c r="A32" s="5" t="s">
        <v>31</v>
      </c>
      <c r="B32">
        <v>5</v>
      </c>
      <c r="L32">
        <f t="shared" si="3"/>
        <v>5</v>
      </c>
      <c r="M32" s="5" t="s">
        <v>31</v>
      </c>
      <c r="N32">
        <f>Bestand!$F$11 -(L32)</f>
        <v>19</v>
      </c>
    </row>
    <row r="33" spans="1:37">
      <c r="A33" s="5" t="s">
        <v>19</v>
      </c>
      <c r="B33">
        <v>1</v>
      </c>
      <c r="L33">
        <f t="shared" si="3"/>
        <v>1</v>
      </c>
      <c r="M33" s="5" t="s">
        <v>19</v>
      </c>
      <c r="N33">
        <f>Bestand!$F$12 -(L33)</f>
        <v>30</v>
      </c>
    </row>
    <row r="34" spans="1:37" s="3" customFormat="1">
      <c r="A34" s="3" t="s">
        <v>111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112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113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114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734" priority="4" operator="lessThanOrEqual">
      <formula>0</formula>
    </cfRule>
    <cfRule type="cellIs" dxfId="733" priority="5" operator="between">
      <formula>1</formula>
      <formula>3</formula>
    </cfRule>
    <cfRule type="expression" dxfId="732" priority="6">
      <formula>AND(N5&gt;3,NOT(ISBLANK(N5)))</formula>
    </cfRule>
  </conditionalFormatting>
  <conditionalFormatting sqref="N15:N23">
    <cfRule type="cellIs" dxfId="731" priority="7" operator="lessThanOrEqual">
      <formula>0</formula>
    </cfRule>
    <cfRule type="cellIs" dxfId="730" priority="8" operator="between">
      <formula>1</formula>
      <formula>3</formula>
    </cfRule>
    <cfRule type="expression" dxfId="729" priority="9">
      <formula>AND(N15&gt;3,NOT(ISBLANK(N15)))</formula>
    </cfRule>
  </conditionalFormatting>
  <conditionalFormatting sqref="N25:N33">
    <cfRule type="cellIs" dxfId="728" priority="10" operator="lessThanOrEqual">
      <formula>0</formula>
    </cfRule>
    <cfRule type="cellIs" dxfId="727" priority="11" operator="between">
      <formula>1</formula>
      <formula>3</formula>
    </cfRule>
    <cfRule type="expression" dxfId="726" priority="12">
      <formula>AND(N25&gt;3,NOT(ISBLANK(N25)))</formula>
    </cfRule>
  </conditionalFormatting>
  <conditionalFormatting sqref="N35:N43">
    <cfRule type="cellIs" dxfId="725" priority="13" operator="lessThanOrEqual">
      <formula>0</formula>
    </cfRule>
    <cfRule type="cellIs" dxfId="724" priority="14" operator="between">
      <formula>1</formula>
      <formula>3</formula>
    </cfRule>
    <cfRule type="expression" dxfId="723" priority="15">
      <formula>AND(N35&gt;3,NOT(ISBLANK(N35)))</formula>
    </cfRule>
  </conditionalFormatting>
  <conditionalFormatting sqref="N45:N53">
    <cfRule type="cellIs" dxfId="722" priority="16" operator="lessThanOrEqual">
      <formula>0</formula>
    </cfRule>
    <cfRule type="cellIs" dxfId="721" priority="17" operator="between">
      <formula>1</formula>
      <formula>3</formula>
    </cfRule>
    <cfRule type="expression" dxfId="720" priority="18">
      <formula>AND(N45&gt;3,NOT(ISBLANK(N45)))</formula>
    </cfRule>
  </conditionalFormatting>
  <conditionalFormatting sqref="N55:N63">
    <cfRule type="cellIs" dxfId="719" priority="19" operator="lessThanOrEqual">
      <formula>0</formula>
    </cfRule>
    <cfRule type="cellIs" dxfId="718" priority="20" operator="between">
      <formula>1</formula>
      <formula>3</formula>
    </cfRule>
    <cfRule type="expression" dxfId="717" priority="21">
      <formula>AND(N55&gt;3,NOT(ISBLANK(N55)))</formula>
    </cfRule>
  </conditionalFormatting>
  <conditionalFormatting sqref="N65:N73">
    <cfRule type="cellIs" dxfId="716" priority="22" operator="lessThanOrEqual">
      <formula>0</formula>
    </cfRule>
    <cfRule type="cellIs" dxfId="715" priority="23" operator="between">
      <formula>1</formula>
      <formula>3</formula>
    </cfRule>
    <cfRule type="expression" dxfId="714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73"/>
  <sheetViews>
    <sheetView workbookViewId="0">
      <selection activeCell="B3" sqref="B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713" priority="4" operator="lessThanOrEqual">
      <formula>0</formula>
    </cfRule>
    <cfRule type="cellIs" dxfId="712" priority="5" operator="between">
      <formula>1</formula>
      <formula>3</formula>
    </cfRule>
    <cfRule type="expression" dxfId="711" priority="6">
      <formula>AND(N5&gt;3,NOT(ISBLANK(N5)))</formula>
    </cfRule>
  </conditionalFormatting>
  <conditionalFormatting sqref="N15:N23">
    <cfRule type="cellIs" dxfId="710" priority="7" operator="lessThanOrEqual">
      <formula>0</formula>
    </cfRule>
    <cfRule type="cellIs" dxfId="709" priority="8" operator="between">
      <formula>1</formula>
      <formula>3</formula>
    </cfRule>
    <cfRule type="expression" dxfId="708" priority="9">
      <formula>AND(N15&gt;3,NOT(ISBLANK(N15)))</formula>
    </cfRule>
  </conditionalFormatting>
  <conditionalFormatting sqref="N25:N33">
    <cfRule type="cellIs" dxfId="707" priority="10" operator="lessThanOrEqual">
      <formula>0</formula>
    </cfRule>
    <cfRule type="cellIs" dxfId="706" priority="11" operator="between">
      <formula>1</formula>
      <formula>3</formula>
    </cfRule>
    <cfRule type="expression" dxfId="705" priority="12">
      <formula>AND(N25&gt;3,NOT(ISBLANK(N25)))</formula>
    </cfRule>
  </conditionalFormatting>
  <conditionalFormatting sqref="N35:N43">
    <cfRule type="cellIs" dxfId="704" priority="13" operator="lessThanOrEqual">
      <formula>0</formula>
    </cfRule>
    <cfRule type="cellIs" dxfId="703" priority="14" operator="between">
      <formula>1</formula>
      <formula>3</formula>
    </cfRule>
    <cfRule type="expression" dxfId="702" priority="15">
      <formula>AND(N35&gt;3,NOT(ISBLANK(N35)))</formula>
    </cfRule>
  </conditionalFormatting>
  <conditionalFormatting sqref="N45:N53">
    <cfRule type="cellIs" dxfId="701" priority="16" operator="lessThanOrEqual">
      <formula>0</formula>
    </cfRule>
    <cfRule type="cellIs" dxfId="700" priority="17" operator="between">
      <formula>1</formula>
      <formula>3</formula>
    </cfRule>
    <cfRule type="expression" dxfId="699" priority="18">
      <formula>AND(N45&gt;3,NOT(ISBLANK(N45)))</formula>
    </cfRule>
  </conditionalFormatting>
  <conditionalFormatting sqref="N55:N63">
    <cfRule type="cellIs" dxfId="698" priority="19" operator="lessThanOrEqual">
      <formula>0</formula>
    </cfRule>
    <cfRule type="cellIs" dxfId="697" priority="20" operator="between">
      <formula>1</formula>
      <formula>3</formula>
    </cfRule>
    <cfRule type="expression" dxfId="696" priority="21">
      <formula>AND(N55&gt;3,NOT(ISBLANK(N55)))</formula>
    </cfRule>
  </conditionalFormatting>
  <conditionalFormatting sqref="N65:N73">
    <cfRule type="cellIs" dxfId="695" priority="22" operator="lessThanOrEqual">
      <formula>0</formula>
    </cfRule>
    <cfRule type="cellIs" dxfId="694" priority="23" operator="between">
      <formula>1</formula>
      <formula>3</formula>
    </cfRule>
    <cfRule type="expression" dxfId="693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73"/>
  <sheetViews>
    <sheetView workbookViewId="0">
      <selection activeCell="C3" sqref="C3"/>
    </sheetView>
  </sheetViews>
  <sheetFormatPr defaultColWidth="11" defaultRowHeight="15.95"/>
  <cols>
    <col min="1" max="1" width="13.375" bestFit="1" customWidth="1"/>
    <col min="2" max="2" width="29.375" customWidth="1"/>
    <col min="3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0" t="s">
        <v>115</v>
      </c>
    </row>
    <row r="2" spans="1:37">
      <c r="A2" t="s">
        <v>25</v>
      </c>
      <c r="B2" s="10" t="s">
        <v>116</v>
      </c>
    </row>
    <row r="3" spans="1:37" ht="409.5" customHeight="1">
      <c r="A3" s="1" t="s">
        <v>26</v>
      </c>
      <c r="B3" s="11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19.05.
  - 1 x Router
  - 1 x Switch
  - 5 x Laptops
  - 1 x iPad
  - 5 x Thermodrucker
  - 5 x Scanner
Mittwoch 20.05.
  - 1 x Router
  - 1 x Switch
  - 5 x Laptops
  - 1 x iPad
  - 5 x Thermodrucker
  - 5 x Scanner
Donnerstag 21.05
  - 1 x Router
  - 1 x Switch
  - 5 x Laptops
  - 1 x iPad
  - 5 x Thermodrucker
  - 5 x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117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118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1</v>
      </c>
      <c r="L15">
        <f t="shared" ref="L15:L23" si="2">SUM(B15:K15)</f>
        <v>1</v>
      </c>
      <c r="M15" s="5" t="s">
        <v>29</v>
      </c>
      <c r="N15">
        <f>Bestand!$F$13 -(L15)</f>
        <v>8</v>
      </c>
    </row>
    <row r="16" spans="1:37">
      <c r="A16" s="5" t="s">
        <v>23</v>
      </c>
      <c r="B16">
        <v>1</v>
      </c>
      <c r="L16">
        <f t="shared" si="2"/>
        <v>1</v>
      </c>
      <c r="M16" s="5" t="s">
        <v>23</v>
      </c>
      <c r="N16">
        <f>Bestand!$F$14 -(L16)</f>
        <v>6</v>
      </c>
    </row>
    <row r="17" spans="1:37">
      <c r="A17" s="5" t="s">
        <v>5</v>
      </c>
      <c r="B17">
        <v>5</v>
      </c>
      <c r="L17">
        <f t="shared" si="2"/>
        <v>5</v>
      </c>
      <c r="M17" s="5" t="s">
        <v>5</v>
      </c>
      <c r="N17">
        <f>Bestand!$F$2 -(L17)</f>
        <v>27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B20">
        <v>5</v>
      </c>
      <c r="L20">
        <f t="shared" si="2"/>
        <v>5</v>
      </c>
      <c r="M20" s="5" t="s">
        <v>15</v>
      </c>
      <c r="N20">
        <f>Bestand!$F$9 -(L20)</f>
        <v>7</v>
      </c>
    </row>
    <row r="21" spans="1:37">
      <c r="A21" s="5" t="s">
        <v>16</v>
      </c>
      <c r="B21">
        <v>5</v>
      </c>
      <c r="L21">
        <f t="shared" si="2"/>
        <v>5</v>
      </c>
      <c r="M21" s="5" t="s">
        <v>16</v>
      </c>
      <c r="N21">
        <f>Bestand!$F$10 -(L21)</f>
        <v>24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B23">
        <v>1</v>
      </c>
      <c r="L23">
        <f t="shared" si="2"/>
        <v>1</v>
      </c>
      <c r="M23" s="5" t="s">
        <v>19</v>
      </c>
      <c r="N23">
        <f>Bestand!$F$12 -(L23)</f>
        <v>30</v>
      </c>
    </row>
    <row r="24" spans="1:37" s="3" customFormat="1">
      <c r="A24" s="3" t="s">
        <v>119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1</v>
      </c>
      <c r="L25">
        <f t="shared" ref="L25:L33" si="3">SUM(B25:K25)</f>
        <v>1</v>
      </c>
      <c r="M25" s="5" t="s">
        <v>29</v>
      </c>
      <c r="N25">
        <f>Bestand!$F$13 -(L25)</f>
        <v>8</v>
      </c>
    </row>
    <row r="26" spans="1:37">
      <c r="A26" s="5" t="s">
        <v>23</v>
      </c>
      <c r="B26">
        <v>1</v>
      </c>
      <c r="L26">
        <f t="shared" si="3"/>
        <v>1</v>
      </c>
      <c r="M26" s="5" t="s">
        <v>23</v>
      </c>
      <c r="N26">
        <f>Bestand!$F$14 -(L26)</f>
        <v>6</v>
      </c>
    </row>
    <row r="27" spans="1:37">
      <c r="A27" s="5" t="s">
        <v>5</v>
      </c>
      <c r="B27">
        <v>5</v>
      </c>
      <c r="L27">
        <f t="shared" si="3"/>
        <v>5</v>
      </c>
      <c r="M27" s="5" t="s">
        <v>5</v>
      </c>
      <c r="N27">
        <f>Bestand!$F$2 -(L27)</f>
        <v>27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B30">
        <v>5</v>
      </c>
      <c r="L30">
        <f t="shared" si="3"/>
        <v>5</v>
      </c>
      <c r="M30" s="5" t="s">
        <v>15</v>
      </c>
      <c r="N30">
        <f>Bestand!$F$9 -(L30)</f>
        <v>7</v>
      </c>
    </row>
    <row r="31" spans="1:37">
      <c r="A31" s="5" t="s">
        <v>16</v>
      </c>
      <c r="B31">
        <v>5</v>
      </c>
      <c r="L31">
        <f t="shared" si="3"/>
        <v>5</v>
      </c>
      <c r="M31" s="5" t="s">
        <v>16</v>
      </c>
      <c r="N31">
        <f>Bestand!$F$10 -(L31)</f>
        <v>24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B33">
        <v>1</v>
      </c>
      <c r="L33">
        <f t="shared" si="3"/>
        <v>1</v>
      </c>
      <c r="M33" s="5" t="s">
        <v>19</v>
      </c>
      <c r="N33">
        <f>Bestand!$F$12 -(L33)</f>
        <v>30</v>
      </c>
    </row>
    <row r="34" spans="1:37" s="3" customFormat="1">
      <c r="A34" s="3" t="s">
        <v>120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B35">
        <v>1</v>
      </c>
      <c r="L35">
        <f t="shared" ref="L35:L43" si="4">SUM(B35:K35)</f>
        <v>1</v>
      </c>
      <c r="M35" s="5" t="s">
        <v>29</v>
      </c>
      <c r="N35">
        <f>Bestand!$F$13 -(L35)</f>
        <v>8</v>
      </c>
    </row>
    <row r="36" spans="1:37">
      <c r="A36" s="5" t="s">
        <v>23</v>
      </c>
      <c r="B36">
        <v>1</v>
      </c>
      <c r="L36">
        <f t="shared" si="4"/>
        <v>1</v>
      </c>
      <c r="M36" s="5" t="s">
        <v>23</v>
      </c>
      <c r="N36">
        <f>Bestand!$F$14 -(L36)</f>
        <v>6</v>
      </c>
    </row>
    <row r="37" spans="1:37">
      <c r="A37" s="5" t="s">
        <v>5</v>
      </c>
      <c r="B37">
        <v>5</v>
      </c>
      <c r="L37">
        <f t="shared" si="4"/>
        <v>5</v>
      </c>
      <c r="M37" s="5" t="s">
        <v>5</v>
      </c>
      <c r="N37">
        <f>Bestand!$F$2 -(L37)</f>
        <v>27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B40">
        <v>5</v>
      </c>
      <c r="L40">
        <f t="shared" si="4"/>
        <v>5</v>
      </c>
      <c r="M40" s="5" t="s">
        <v>15</v>
      </c>
      <c r="N40">
        <f>Bestand!$F$9 -(L40)</f>
        <v>7</v>
      </c>
    </row>
    <row r="41" spans="1:37">
      <c r="A41" s="5" t="s">
        <v>16</v>
      </c>
      <c r="B41">
        <v>5</v>
      </c>
      <c r="L41">
        <f t="shared" si="4"/>
        <v>5</v>
      </c>
      <c r="M41" s="5" t="s">
        <v>16</v>
      </c>
      <c r="N41">
        <f>Bestand!$F$10 -(L41)</f>
        <v>24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B43">
        <v>1</v>
      </c>
      <c r="L43">
        <f t="shared" si="4"/>
        <v>1</v>
      </c>
      <c r="M43" s="5" t="s">
        <v>19</v>
      </c>
      <c r="N43">
        <f>Bestand!$F$12 -(L43)</f>
        <v>30</v>
      </c>
    </row>
    <row r="44" spans="1:37" s="3" customFormat="1">
      <c r="A44" s="3" t="s">
        <v>121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122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123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692" priority="4" operator="lessThanOrEqual">
      <formula>0</formula>
    </cfRule>
    <cfRule type="cellIs" dxfId="691" priority="5" operator="between">
      <formula>1</formula>
      <formula>3</formula>
    </cfRule>
    <cfRule type="expression" dxfId="690" priority="6">
      <formula>AND(N5&gt;3,NOT(ISBLANK(N5)))</formula>
    </cfRule>
  </conditionalFormatting>
  <conditionalFormatting sqref="N15:N23">
    <cfRule type="cellIs" dxfId="689" priority="7" operator="lessThanOrEqual">
      <formula>0</formula>
    </cfRule>
    <cfRule type="cellIs" dxfId="688" priority="8" operator="between">
      <formula>1</formula>
      <formula>3</formula>
    </cfRule>
    <cfRule type="expression" dxfId="687" priority="9">
      <formula>AND(N15&gt;3,NOT(ISBLANK(N15)))</formula>
    </cfRule>
  </conditionalFormatting>
  <conditionalFormatting sqref="N25:N33">
    <cfRule type="cellIs" dxfId="686" priority="10" operator="lessThanOrEqual">
      <formula>0</formula>
    </cfRule>
    <cfRule type="cellIs" dxfId="685" priority="11" operator="between">
      <formula>1</formula>
      <formula>3</formula>
    </cfRule>
    <cfRule type="expression" dxfId="684" priority="12">
      <formula>AND(N25&gt;3,NOT(ISBLANK(N25)))</formula>
    </cfRule>
  </conditionalFormatting>
  <conditionalFormatting sqref="N35:N43">
    <cfRule type="cellIs" dxfId="683" priority="13" operator="lessThanOrEqual">
      <formula>0</formula>
    </cfRule>
    <cfRule type="cellIs" dxfId="682" priority="14" operator="between">
      <formula>1</formula>
      <formula>3</formula>
    </cfRule>
    <cfRule type="expression" dxfId="681" priority="15">
      <formula>AND(N35&gt;3,NOT(ISBLANK(N35)))</formula>
    </cfRule>
  </conditionalFormatting>
  <conditionalFormatting sqref="N45:N53">
    <cfRule type="cellIs" dxfId="680" priority="16" operator="lessThanOrEqual">
      <formula>0</formula>
    </cfRule>
    <cfRule type="cellIs" dxfId="679" priority="17" operator="between">
      <formula>1</formula>
      <formula>3</formula>
    </cfRule>
    <cfRule type="expression" dxfId="678" priority="18">
      <formula>AND(N45&gt;3,NOT(ISBLANK(N45)))</formula>
    </cfRule>
  </conditionalFormatting>
  <conditionalFormatting sqref="N55:N63">
    <cfRule type="cellIs" dxfId="677" priority="19" operator="lessThanOrEqual">
      <formula>0</formula>
    </cfRule>
    <cfRule type="cellIs" dxfId="676" priority="20" operator="between">
      <formula>1</formula>
      <formula>3</formula>
    </cfRule>
    <cfRule type="expression" dxfId="675" priority="21">
      <formula>AND(N55&gt;3,NOT(ISBLANK(N55)))</formula>
    </cfRule>
  </conditionalFormatting>
  <conditionalFormatting sqref="N65:N73">
    <cfRule type="cellIs" dxfId="674" priority="22" operator="lessThanOrEqual">
      <formula>0</formula>
    </cfRule>
    <cfRule type="cellIs" dxfId="673" priority="23" operator="between">
      <formula>1</formula>
      <formula>3</formula>
    </cfRule>
    <cfRule type="expression" dxfId="672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73"/>
  <sheetViews>
    <sheetView workbookViewId="0">
      <selection activeCell="B1" sqref="B1:B3"/>
    </sheetView>
  </sheetViews>
  <sheetFormatPr defaultColWidth="11" defaultRowHeight="15.95"/>
  <cols>
    <col min="1" max="1" width="13.375" bestFit="1" customWidth="1"/>
    <col min="2" max="2" width="32.375" customWidth="1"/>
    <col min="3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6" t="s">
        <v>124</v>
      </c>
    </row>
    <row r="2" spans="1:37">
      <c r="A2" t="s">
        <v>25</v>
      </c>
      <c r="B2" s="16" t="s">
        <v>125</v>
      </c>
    </row>
    <row r="3" spans="1:37" ht="309.75" customHeight="1">
      <c r="A3" s="1" t="s">
        <v>26</v>
      </c>
      <c r="B3" s="17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Dienstag  26.05.
  - 1 x Router
  - 1 x Switch
  - 6 x Laptops
  - 3 x Kartendrucker
  - 20 x iPad
  - 1 x Laserdrucker
  - 4 x Scanner
Mittwoch 27.05.
  - 1 x Router
  - 1 x Switch
  - 6 x Laptops
  - 3 x Kartendrucker
  - 20 x iPad
  - 1 x Laserdrucker
  - 4 x Scanner
</v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126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127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1</v>
      </c>
      <c r="L15">
        <f t="shared" ref="L15:L23" si="2">SUM(B15:K15)</f>
        <v>1</v>
      </c>
      <c r="M15" s="5" t="s">
        <v>29</v>
      </c>
      <c r="N15">
        <f>Bestand!$F$13 -(L15)</f>
        <v>8</v>
      </c>
    </row>
    <row r="16" spans="1:37">
      <c r="A16" s="5" t="s">
        <v>23</v>
      </c>
      <c r="B16">
        <v>1</v>
      </c>
      <c r="L16">
        <f t="shared" si="2"/>
        <v>1</v>
      </c>
      <c r="M16" s="5" t="s">
        <v>23</v>
      </c>
      <c r="N16">
        <f>Bestand!$F$14 -(L16)</f>
        <v>6</v>
      </c>
    </row>
    <row r="17" spans="1:37">
      <c r="A17" s="5" t="s">
        <v>5</v>
      </c>
      <c r="B17">
        <v>6</v>
      </c>
      <c r="L17">
        <f t="shared" si="2"/>
        <v>6</v>
      </c>
      <c r="M17" s="5" t="s">
        <v>5</v>
      </c>
      <c r="N17">
        <f>Bestand!$F$2 -(L17)</f>
        <v>26</v>
      </c>
    </row>
    <row r="18" spans="1:37">
      <c r="A18" s="5" t="s">
        <v>7</v>
      </c>
      <c r="B18">
        <v>3</v>
      </c>
      <c r="L18">
        <f t="shared" si="2"/>
        <v>3</v>
      </c>
      <c r="M18" s="5" t="s">
        <v>7</v>
      </c>
      <c r="N18">
        <f>Bestand!$F$3 -(L18)</f>
        <v>9</v>
      </c>
    </row>
    <row r="19" spans="1:37">
      <c r="A19" s="5" t="s">
        <v>30</v>
      </c>
      <c r="B19">
        <v>1</v>
      </c>
      <c r="L19">
        <f t="shared" si="2"/>
        <v>1</v>
      </c>
      <c r="M19" s="5" t="s">
        <v>30</v>
      </c>
      <c r="N19">
        <f>Bestand!$F$8 -(L19)</f>
        <v>32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B21">
        <v>4</v>
      </c>
      <c r="L21">
        <f t="shared" si="2"/>
        <v>4</v>
      </c>
      <c r="M21" s="5" t="s">
        <v>16</v>
      </c>
      <c r="N21">
        <f>Bestand!$F$10 -(L21)</f>
        <v>25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B23">
        <v>20</v>
      </c>
      <c r="L23">
        <f t="shared" si="2"/>
        <v>20</v>
      </c>
      <c r="M23" s="5" t="s">
        <v>19</v>
      </c>
      <c r="N23">
        <f>Bestand!$F$12 -(L23)</f>
        <v>11</v>
      </c>
    </row>
    <row r="24" spans="1:37" s="3" customFormat="1">
      <c r="A24" s="3" t="s">
        <v>128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B25">
        <v>1</v>
      </c>
      <c r="L25">
        <f t="shared" ref="L25:L33" si="3">SUM(B25:K25)</f>
        <v>1</v>
      </c>
      <c r="M25" s="5" t="s">
        <v>29</v>
      </c>
      <c r="N25">
        <f>Bestand!$F$13 -(L25)</f>
        <v>8</v>
      </c>
    </row>
    <row r="26" spans="1:37">
      <c r="A26" s="5" t="s">
        <v>23</v>
      </c>
      <c r="B26">
        <v>1</v>
      </c>
      <c r="L26">
        <f t="shared" si="3"/>
        <v>1</v>
      </c>
      <c r="M26" s="5" t="s">
        <v>23</v>
      </c>
      <c r="N26">
        <f>Bestand!$F$14 -(L26)</f>
        <v>6</v>
      </c>
    </row>
    <row r="27" spans="1:37">
      <c r="A27" s="5" t="s">
        <v>5</v>
      </c>
      <c r="B27">
        <v>6</v>
      </c>
      <c r="L27">
        <f t="shared" si="3"/>
        <v>6</v>
      </c>
      <c r="M27" s="5" t="s">
        <v>5</v>
      </c>
      <c r="N27">
        <f>Bestand!$F$2 -(L27)</f>
        <v>26</v>
      </c>
    </row>
    <row r="28" spans="1:37">
      <c r="A28" s="5" t="s">
        <v>7</v>
      </c>
      <c r="B28">
        <v>3</v>
      </c>
      <c r="L28">
        <f t="shared" si="3"/>
        <v>3</v>
      </c>
      <c r="M28" s="5" t="s">
        <v>7</v>
      </c>
      <c r="N28">
        <f>Bestand!$F$3 -(L28)</f>
        <v>9</v>
      </c>
    </row>
    <row r="29" spans="1:37">
      <c r="A29" s="5" t="s">
        <v>30</v>
      </c>
      <c r="B29">
        <v>1</v>
      </c>
      <c r="L29">
        <f t="shared" si="3"/>
        <v>1</v>
      </c>
      <c r="M29" s="5" t="s">
        <v>30</v>
      </c>
      <c r="N29">
        <f>Bestand!$F$8 -(L29)</f>
        <v>32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B31">
        <v>4</v>
      </c>
      <c r="L31">
        <f t="shared" si="3"/>
        <v>4</v>
      </c>
      <c r="M31" s="5" t="s">
        <v>16</v>
      </c>
      <c r="N31">
        <f>Bestand!$F$10 -(L31)</f>
        <v>25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B33">
        <v>20</v>
      </c>
      <c r="L33">
        <f t="shared" si="3"/>
        <v>20</v>
      </c>
      <c r="M33" s="5" t="s">
        <v>19</v>
      </c>
      <c r="N33">
        <f>Bestand!$F$12 -(L33)</f>
        <v>11</v>
      </c>
    </row>
    <row r="34" spans="1:37" s="3" customFormat="1">
      <c r="A34" s="3" t="s">
        <v>129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130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131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132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671" priority="4" operator="lessThanOrEqual">
      <formula>0</formula>
    </cfRule>
    <cfRule type="cellIs" dxfId="670" priority="5" operator="between">
      <formula>1</formula>
      <formula>3</formula>
    </cfRule>
    <cfRule type="expression" dxfId="669" priority="6">
      <formula>AND(N5&gt;3,NOT(ISBLANK(N5)))</formula>
    </cfRule>
  </conditionalFormatting>
  <conditionalFormatting sqref="N15:N23">
    <cfRule type="cellIs" dxfId="668" priority="7" operator="lessThanOrEqual">
      <formula>0</formula>
    </cfRule>
    <cfRule type="cellIs" dxfId="667" priority="8" operator="between">
      <formula>1</formula>
      <formula>3</formula>
    </cfRule>
    <cfRule type="expression" dxfId="666" priority="9">
      <formula>AND(N15&gt;3,NOT(ISBLANK(N15)))</formula>
    </cfRule>
  </conditionalFormatting>
  <conditionalFormatting sqref="N25:N33">
    <cfRule type="cellIs" dxfId="665" priority="10" operator="lessThanOrEqual">
      <formula>0</formula>
    </cfRule>
    <cfRule type="cellIs" dxfId="664" priority="11" operator="between">
      <formula>1</formula>
      <formula>3</formula>
    </cfRule>
    <cfRule type="expression" dxfId="663" priority="12">
      <formula>AND(N25&gt;3,NOT(ISBLANK(N25)))</formula>
    </cfRule>
  </conditionalFormatting>
  <conditionalFormatting sqref="N35:N43">
    <cfRule type="cellIs" dxfId="662" priority="13" operator="lessThanOrEqual">
      <formula>0</formula>
    </cfRule>
    <cfRule type="cellIs" dxfId="661" priority="14" operator="between">
      <formula>1</formula>
      <formula>3</formula>
    </cfRule>
    <cfRule type="expression" dxfId="660" priority="15">
      <formula>AND(N35&gt;3,NOT(ISBLANK(N35)))</formula>
    </cfRule>
  </conditionalFormatting>
  <conditionalFormatting sqref="N45:N53">
    <cfRule type="cellIs" dxfId="659" priority="16" operator="lessThanOrEqual">
      <formula>0</formula>
    </cfRule>
    <cfRule type="cellIs" dxfId="658" priority="17" operator="between">
      <formula>1</formula>
      <formula>3</formula>
    </cfRule>
    <cfRule type="expression" dxfId="657" priority="18">
      <formula>AND(N45&gt;3,NOT(ISBLANK(N45)))</formula>
    </cfRule>
  </conditionalFormatting>
  <conditionalFormatting sqref="N55:N63">
    <cfRule type="cellIs" dxfId="656" priority="19" operator="lessThanOrEqual">
      <formula>0</formula>
    </cfRule>
    <cfRule type="cellIs" dxfId="655" priority="20" operator="between">
      <formula>1</formula>
      <formula>3</formula>
    </cfRule>
    <cfRule type="expression" dxfId="654" priority="21">
      <formula>AND(N55&gt;3,NOT(ISBLANK(N55)))</formula>
    </cfRule>
  </conditionalFormatting>
  <conditionalFormatting sqref="N65:N73">
    <cfRule type="cellIs" dxfId="653" priority="22" operator="lessThanOrEqual">
      <formula>0</formula>
    </cfRule>
    <cfRule type="cellIs" dxfId="652" priority="23" operator="between">
      <formula>1</formula>
      <formula>3</formula>
    </cfRule>
    <cfRule type="expression" dxfId="651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650" priority="4" operator="lessThanOrEqual">
      <formula>0</formula>
    </cfRule>
    <cfRule type="cellIs" dxfId="649" priority="5" operator="between">
      <formula>1</formula>
      <formula>3</formula>
    </cfRule>
    <cfRule type="expression" dxfId="648" priority="6">
      <formula>AND(N5&gt;3,NOT(ISBLANK(N5)))</formula>
    </cfRule>
  </conditionalFormatting>
  <conditionalFormatting sqref="N15:N23">
    <cfRule type="cellIs" dxfId="647" priority="7" operator="lessThanOrEqual">
      <formula>0</formula>
    </cfRule>
    <cfRule type="cellIs" dxfId="646" priority="8" operator="between">
      <formula>1</formula>
      <formula>3</formula>
    </cfRule>
    <cfRule type="expression" dxfId="645" priority="9">
      <formula>AND(N15&gt;3,NOT(ISBLANK(N15)))</formula>
    </cfRule>
  </conditionalFormatting>
  <conditionalFormatting sqref="N25:N33">
    <cfRule type="cellIs" dxfId="644" priority="10" operator="lessThanOrEqual">
      <formula>0</formula>
    </cfRule>
    <cfRule type="cellIs" dxfId="643" priority="11" operator="between">
      <formula>1</formula>
      <formula>3</formula>
    </cfRule>
    <cfRule type="expression" dxfId="642" priority="12">
      <formula>AND(N25&gt;3,NOT(ISBLANK(N25)))</formula>
    </cfRule>
  </conditionalFormatting>
  <conditionalFormatting sqref="N35:N43">
    <cfRule type="cellIs" dxfId="641" priority="13" operator="lessThanOrEqual">
      <formula>0</formula>
    </cfRule>
    <cfRule type="cellIs" dxfId="640" priority="14" operator="between">
      <formula>1</formula>
      <formula>3</formula>
    </cfRule>
    <cfRule type="expression" dxfId="639" priority="15">
      <formula>AND(N35&gt;3,NOT(ISBLANK(N35)))</formula>
    </cfRule>
  </conditionalFormatting>
  <conditionalFormatting sqref="N45:N53">
    <cfRule type="cellIs" dxfId="638" priority="16" operator="lessThanOrEqual">
      <formula>0</formula>
    </cfRule>
    <cfRule type="cellIs" dxfId="637" priority="17" operator="between">
      <formula>1</formula>
      <formula>3</formula>
    </cfRule>
    <cfRule type="expression" dxfId="636" priority="18">
      <formula>AND(N45&gt;3,NOT(ISBLANK(N45)))</formula>
    </cfRule>
  </conditionalFormatting>
  <conditionalFormatting sqref="N55:N63">
    <cfRule type="cellIs" dxfId="635" priority="19" operator="lessThanOrEqual">
      <formula>0</formula>
    </cfRule>
    <cfRule type="cellIs" dxfId="634" priority="20" operator="between">
      <formula>1</formula>
      <formula>3</formula>
    </cfRule>
    <cfRule type="expression" dxfId="633" priority="21">
      <formula>AND(N55&gt;3,NOT(ISBLANK(N55)))</formula>
    </cfRule>
  </conditionalFormatting>
  <conditionalFormatting sqref="N65:N73">
    <cfRule type="cellIs" dxfId="632" priority="22" operator="lessThanOrEqual">
      <formula>0</formula>
    </cfRule>
    <cfRule type="cellIs" dxfId="631" priority="23" operator="between">
      <formula>1</formula>
      <formula>3</formula>
    </cfRule>
    <cfRule type="expression" dxfId="630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K73"/>
  <sheetViews>
    <sheetView tabSelected="1" topLeftCell="A3" workbookViewId="0">
      <selection activeCell="P15" sqref="P15"/>
    </sheetView>
  </sheetViews>
  <sheetFormatPr defaultColWidth="11" defaultRowHeight="15.95"/>
  <cols>
    <col min="1" max="1" width="13.375" bestFit="1" customWidth="1"/>
    <col min="2" max="2" width="20.125" customWidth="1"/>
    <col min="3" max="3" width="22.75" customWidth="1"/>
    <col min="4" max="4" width="31.75" customWidth="1"/>
    <col min="5" max="5" width="22" customWidth="1"/>
    <col min="6" max="6" width="23.875" customWidth="1"/>
    <col min="7" max="7" width="20.75" customWidth="1"/>
    <col min="8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  <c r="B1" s="16" t="s">
        <v>133</v>
      </c>
      <c r="C1" s="10" t="s">
        <v>134</v>
      </c>
      <c r="D1" s="12" t="s">
        <v>135</v>
      </c>
      <c r="E1" s="18" t="s">
        <v>136</v>
      </c>
      <c r="F1" s="20" t="s">
        <v>137</v>
      </c>
      <c r="G1" s="4" t="s">
        <v>106</v>
      </c>
      <c r="H1" t="s">
        <v>138</v>
      </c>
      <c r="I1" t="s">
        <v>139</v>
      </c>
    </row>
    <row r="2" spans="1:37" ht="14.25" customHeight="1">
      <c r="A2" t="s">
        <v>25</v>
      </c>
      <c r="B2" s="16"/>
      <c r="C2" s="10"/>
      <c r="D2" s="12" t="s">
        <v>140</v>
      </c>
      <c r="E2" s="18"/>
      <c r="F2" s="20"/>
      <c r="G2" s="4"/>
    </row>
    <row r="3" spans="1:37" ht="409.6">
      <c r="A3" s="1" t="s">
        <v>26</v>
      </c>
      <c r="B3" s="17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 xml:space="preserve">Montag  08.06.
  - 1 x Router
  - 1 x Switch
  - 6 x Laptops
  - 10 x iPad
  - 6 x Laserdrucker
  - 5 x Scanner
  - 5 x Handheld Scanner
Dienstag  09.06.
  - 1 x Router
  - 1 x Switch
  - 6 x Laptops
  - 10 x iPad
  - 6 x Laserdrucker
  - 5 x Scanner
  - 5 x Handheld Scanner
</v>
      </c>
      <c r="C3" s="11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 xml:space="preserve">Montag  08.06.
  - 2 x Router
  - 1 x Switch
  - 10 x Laptops
  - 3 x Kartendrucker
  - 4 x iPad
  - 10 x Scanner
  - 3 x Handheld Scanner
Dienstag  09.06.
  - 2 x Router
  - 1 x Switch
  - 10 x Laptops
  - 3 x Kartendrucker
  - 4 x iPad
  - 10 x Scanner
  - 3 x Handheld Scanner
</v>
      </c>
      <c r="D3" s="13" t="str">
        <f t="shared" si="0"/>
        <v/>
      </c>
      <c r="E3" s="19" t="str">
        <f>IF(SUM(E5:E13)&gt;0,
$A$4&amp;CHAR(10)&amp;
IF(E5&gt;0,"  - "&amp;E5&amp;" x Router"&amp;CHAR(10),"")&amp;
IF(E6&gt;0,"  - "&amp;E6&amp;" x Switch"&amp;CHAR(10),"")&amp;
IF(E7&gt;0,"  - "&amp;E7&amp;" x Laptops"&amp;CHAR(10),"")&amp;
IF(E8&gt;0,"  - "&amp;E8&amp;" x Kartendrucker"&amp;CHAR(10),"")&amp;
IF(E13&gt;0,"  - "&amp;E13&amp;" x iPad"&amp;CHAR(10),"")&amp;
IF(E9&gt;0,"  - "&amp;E9&amp;" x Laserdrucker"&amp;CHAR(10),"")&amp;
IF(E10&gt;0,"  - "&amp;E10&amp;" x Thermodrucker"&amp;CHAR(10),"")&amp;
IF(E11&gt;0,"  - "&amp;E11&amp;" x Scanner"&amp;CHAR(10),"")&amp;
IF(E12&gt;0,"  - "&amp;E12&amp;" x Handheld Scanner"&amp;CHAR(10),""),
"")&amp;
IF(SUM(E15:E23)&gt;0,
$A$14&amp;CHAR(10)&amp;
IF(E15&gt;0,"  - "&amp;E15&amp;" x Router"&amp;CHAR(10),"")&amp;
IF(E16&gt;0,"  - "&amp;E16&amp;" x Switch"&amp;CHAR(10),"")&amp;
IF(E17&gt;0,"  - "&amp;E17&amp;" x Laptops"&amp;CHAR(10),"")&amp;
IF(E18&gt;0,"  - "&amp;E18&amp;" x Kartendrucker"&amp;CHAR(10),"")&amp;
IF(E23&gt;0,"  - "&amp;E23&amp;" x iPad"&amp;CHAR(10),"")&amp;
IF(E19&gt;0,"  - "&amp;E19&amp;" x Laserdrucker"&amp;CHAR(10),"")&amp;
IF(E20&gt;0,"  - "&amp;E20&amp;" x Thermodrucker"&amp;CHAR(10),"")&amp;
IF(E21&gt;0,"  - "&amp;E21&amp;" x Scanner"&amp;CHAR(10),"")&amp;
IF(E22&gt;0,"  - "&amp;E22&amp;" x Handheld Scanner"&amp;CHAR(10),""),
"")&amp;
IF(SUM(E25:E33)&gt;0,
$A$24&amp;CHAR(10)&amp;
IF(E25&gt;0,"  - "&amp;E25&amp;" x Router"&amp;CHAR(10),"")&amp;
IF(E26&gt;0,"  - "&amp;E26&amp;" x Switch"&amp;CHAR(10),"")&amp;
IF(E27&gt;0,"  - "&amp;E27&amp;" x Laptops"&amp;CHAR(10),"")&amp;
IF(E28&gt;0,"  - "&amp;E28&amp;" x Kartendrucker"&amp;CHAR(10),"")&amp;
IF(E33&gt;0,"  - "&amp;E33&amp;" x iPad"&amp;CHAR(10),"")&amp;
IF(E29&gt;0,"  - "&amp;E29&amp;" x Laserdrucker"&amp;CHAR(10),"")&amp;
IF(E30&gt;0,"  - "&amp;E30&amp;" x Thermodrucker"&amp;CHAR(10),"")&amp;
IF(E31&gt;0,"  - "&amp;E31&amp;" x Scanner"&amp;CHAR(10),"")&amp;
IF(E32&gt;0,"  - "&amp;E32&amp;" x Handheld Scanner"&amp;CHAR(10),""),
"")&amp;
IF(SUM(E35:E43)&gt;0,
$A$34&amp;CHAR(10)&amp;
IF(E35&gt;0,"  - "&amp;E35&amp;" x Router"&amp;CHAR(10),"")&amp;
IF(E36&gt;0,"  - "&amp;E36&amp;" x Switch"&amp;CHAR(10),"")&amp;
IF(E37&gt;0,"  - "&amp;E37&amp;" x Laptops"&amp;CHAR(10),"")&amp;
IF(E38&gt;0,"  - "&amp;E38&amp;" x Kartendrucker"&amp;CHAR(10),"")&amp;
IF(E43&gt;0,"  - "&amp;E43&amp;" x iPad"&amp;CHAR(10),"")&amp;
IF(E39&gt;0,"  - "&amp;E39&amp;" x Laserdrucker"&amp;CHAR(10),"")&amp;
IF(E40&gt;0,"  - "&amp;E40&amp;" x Thermodrucker"&amp;CHAR(10),"")&amp;
IF(E41&gt;0,"  - "&amp;E41&amp;" x Scanner"&amp;CHAR(10),"")&amp;
IF(E42&gt;0,"  - "&amp;E42&amp;" x Handheld Scanner"&amp;CHAR(10),""),
"")&amp;
IF(SUM(E45:E53)&gt;0,
$A$44&amp;CHAR(10)&amp;
IF(E45&gt;0,"  - "&amp;E45&amp;" x Router"&amp;CHAR(10),"")&amp;
IF(E46&gt;0,"  - "&amp;E46&amp;" x Switch"&amp;CHAR(10),"")&amp;
IF(E47&gt;0,"  - "&amp;E47&amp;" x Laptops"&amp;CHAR(10),"")&amp;
IF(E48&gt;0,"  - "&amp;E48&amp;" x Kartendrucker"&amp;CHAR(10),"")&amp;
IF(E53&gt;0,"  - "&amp;E53&amp;" x iPad"&amp;CHAR(10),"")&amp;
IF(E49&gt;0,"  - "&amp;E49&amp;" x Laserdrucker"&amp;CHAR(10),"")&amp;
IF(E50&gt;0,"  - "&amp;E50&amp;" x Thermodrucker"&amp;CHAR(10),"")&amp;
IF(E51&gt;0,"  - "&amp;E51&amp;" x Scanner"&amp;CHAR(10),"")&amp;
IF(E52&gt;0,"  - "&amp;E52&amp;" x Handheld Scanner"&amp;CHAR(10),""),
"")&amp;
IF(SUM(E55:E63)&gt;0,
$A$54&amp;CHAR(10)&amp;
IF(E55&gt;0,"  - "&amp;E55&amp;" x Router"&amp;CHAR(10),"")&amp;
IF(E56&gt;0,"  - "&amp;E56&amp;" x Switch"&amp;CHAR(10),"")&amp;
IF(E57&gt;0,"  - "&amp;E57&amp;" x Laptops"&amp;CHAR(10),"")&amp;
IF(E58&gt;0,"  - "&amp;E58&amp;" x Kartendrucker"&amp;CHAR(10),"")&amp;
IF(E63&gt;0,"  - "&amp;E63&amp;" x iPad"&amp;CHAR(10),"")&amp;
IF(E59&gt;0,"  - "&amp;E59&amp;" x Laserdrucker"&amp;CHAR(10),"")&amp;
IF(E60&gt;0,"  - "&amp;E60&amp;" x Thermodrucker"&amp;CHAR(10),"")&amp;
IF(E61&gt;0,"  - "&amp;E61&amp;" x Scanner"&amp;CHAR(10),"")&amp;
IF(E62&gt;0,"  - "&amp;E62&amp;" x Handheld Scanner"&amp;CHAR(10),""),
"")&amp;
IF(SUM(E65:E73)&gt;0,
$A$64&amp;CHAR(10)&amp;
IF(E65&gt;0,"  - "&amp;E65&amp;" x Router"&amp;CHAR(10),"")&amp;
IF(E66&gt;0,"  - "&amp;E66&amp;" x Switch"&amp;CHAR(10),"")&amp;
IF(E67&gt;0,"  - "&amp;E67&amp;" x Laptops"&amp;CHAR(10),"")&amp;
IF(E68&gt;0,"  - "&amp;E68&amp;" x Kartendrucker"&amp;CHAR(10),"")&amp;
IF(E73&gt;0,"  - "&amp;E73&amp;" x iPad"&amp;CHAR(10),"")&amp;
IF(E69&gt;0,"  - "&amp;E69&amp;" x Laserdrucker"&amp;CHAR(10),"")&amp;
IF(E70&gt;0,"  - "&amp;E70&amp;" x Thermodrucker"&amp;CHAR(10),"")&amp;
IF(E71&gt;0,"  - "&amp;E71&amp;" x Scanner"&amp;CHAR(10),"")&amp;
IF(E72&gt;0,"  - "&amp;E72&amp;" x Handheld Scanner"&amp;CHAR(10),""),
"")</f>
        <v xml:space="preserve">Montag  08.06.
  - 1 x Router
  - 1 x Switch
  - 6 x Laptops
  - 1 x iPad
  - 6 x Laserdrucker
  - 6 x Scanner
Dienstag  09.06.
  - 1 x Router
  - 1 x Switch
  - 6 x Laptops
  - 1 x iPad
  - 6 x Laserdrucker
  - 6 x Scanner
</v>
      </c>
      <c r="F3" s="21" t="str">
        <f t="shared" si="0"/>
        <v xml:space="preserve">Dienstag  09.06.
  - 1 x Router
  - 1 x Switch
  - 7 x Laptops
  - 5 x Kartendrucker
  - 30 x iPad
  - 3 x Laserdrucker
  - 6 x Scanner
  - 5 x Handheld Scanner
Mittwoch 10.06.
  - 1 x Router
  - 1 x Switch
  - 7 x Laptops
  - 5 x Kartendrucker
  - 30 x iPad
  - 3 x Laserdrucker
  - 6 x Scanner
  - 5 x Handheld Scanner
Donnerstag 11.06.
  - 1 x Router
  - 1 x Switch
  - 7 x Laptops
  - 5 x Kartendrucker
  - 30 x iPad
  - 3 x Laserdrucker
  - 6 x Scanner
  - 5 x Handheld Scanner
</v>
      </c>
      <c r="G3" s="22" t="str">
        <f t="shared" si="0"/>
        <v xml:space="preserve">Dienstag  09.06.
  - 2 x Router
  - 1 x Switch
  - 8 x Laptops
  - 20 x iPad
  - 7 x Thermodrucker
  - 7 x Scanner
Mittwoch 10.06.
  - 2 x Router
  - 1 x Switch
  - 8 x Laptops
  - 20 x iPad
  - 7 x Thermodrucker
  - 7 x Scanner
Donnerstag 11.06.
  - 2 x Router
  - 1 x Switch
  - 8 x Laptops
  - 20 x iPad
  - 7 x Thermodrucker
  - 7 x Scanner
</v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141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B5">
        <v>1</v>
      </c>
      <c r="C5">
        <v>2</v>
      </c>
      <c r="E5">
        <v>1</v>
      </c>
      <c r="L5">
        <f t="shared" ref="L5:L13" si="1">SUM(B5:K5)</f>
        <v>4</v>
      </c>
      <c r="M5" s="5" t="s">
        <v>29</v>
      </c>
      <c r="N5">
        <f>Bestand!$F$13 -(L5)</f>
        <v>5</v>
      </c>
    </row>
    <row r="6" spans="1:37">
      <c r="A6" s="5" t="s">
        <v>23</v>
      </c>
      <c r="B6">
        <v>1</v>
      </c>
      <c r="C6">
        <v>1</v>
      </c>
      <c r="E6">
        <v>1</v>
      </c>
      <c r="L6">
        <f t="shared" si="1"/>
        <v>3</v>
      </c>
      <c r="M6" s="5" t="s">
        <v>23</v>
      </c>
      <c r="N6">
        <f>Bestand!$F$14 -(L6)</f>
        <v>4</v>
      </c>
    </row>
    <row r="7" spans="1:37">
      <c r="A7" s="5" t="s">
        <v>5</v>
      </c>
      <c r="B7">
        <v>6</v>
      </c>
      <c r="C7">
        <v>10</v>
      </c>
      <c r="E7">
        <v>6</v>
      </c>
      <c r="L7">
        <f t="shared" si="1"/>
        <v>22</v>
      </c>
      <c r="M7" s="5" t="s">
        <v>5</v>
      </c>
      <c r="N7">
        <f>Bestand!$F$2 -(L7)</f>
        <v>10</v>
      </c>
    </row>
    <row r="8" spans="1:37">
      <c r="A8" s="5" t="s">
        <v>7</v>
      </c>
      <c r="C8">
        <v>3</v>
      </c>
      <c r="L8">
        <f t="shared" si="1"/>
        <v>3</v>
      </c>
      <c r="M8" s="5" t="s">
        <v>7</v>
      </c>
      <c r="N8">
        <f>Bestand!$F$3 -(L8)</f>
        <v>9</v>
      </c>
    </row>
    <row r="9" spans="1:37">
      <c r="A9" s="5" t="s">
        <v>30</v>
      </c>
      <c r="B9">
        <v>6</v>
      </c>
      <c r="E9">
        <v>6</v>
      </c>
      <c r="L9">
        <f t="shared" si="1"/>
        <v>12</v>
      </c>
      <c r="M9" s="5" t="s">
        <v>30</v>
      </c>
      <c r="N9">
        <f>Bestand!$F$8 -(L9)</f>
        <v>21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B11">
        <v>5</v>
      </c>
      <c r="C11">
        <v>10</v>
      </c>
      <c r="E11">
        <v>6</v>
      </c>
      <c r="L11">
        <f t="shared" si="1"/>
        <v>21</v>
      </c>
      <c r="M11" s="5" t="s">
        <v>16</v>
      </c>
      <c r="N11">
        <f>Bestand!$F$10 -(L11)</f>
        <v>8</v>
      </c>
    </row>
    <row r="12" spans="1:37">
      <c r="A12" s="5" t="s">
        <v>31</v>
      </c>
      <c r="B12">
        <v>5</v>
      </c>
      <c r="C12">
        <v>3</v>
      </c>
      <c r="L12">
        <f t="shared" si="1"/>
        <v>8</v>
      </c>
      <c r="M12" s="5" t="s">
        <v>31</v>
      </c>
      <c r="N12">
        <f>Bestand!$F$11 -(L12)</f>
        <v>16</v>
      </c>
    </row>
    <row r="13" spans="1:37">
      <c r="A13" s="5" t="s">
        <v>19</v>
      </c>
      <c r="B13">
        <v>10</v>
      </c>
      <c r="C13">
        <v>4</v>
      </c>
      <c r="E13">
        <v>1</v>
      </c>
      <c r="L13">
        <f t="shared" si="1"/>
        <v>15</v>
      </c>
      <c r="M13" s="5" t="s">
        <v>19</v>
      </c>
      <c r="N13">
        <f>Bestand!$F$12 -(L13)</f>
        <v>16</v>
      </c>
    </row>
    <row r="14" spans="1:37" s="3" customFormat="1">
      <c r="A14" s="3" t="s">
        <v>142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B15">
        <v>1</v>
      </c>
      <c r="C15">
        <v>2</v>
      </c>
      <c r="D15" s="23" t="s">
        <v>143</v>
      </c>
      <c r="E15">
        <v>1</v>
      </c>
      <c r="F15">
        <v>1</v>
      </c>
      <c r="G15">
        <v>2</v>
      </c>
      <c r="L15">
        <f t="shared" ref="L15:L23" si="2">SUM(B15:K15)</f>
        <v>7</v>
      </c>
      <c r="M15" s="5" t="s">
        <v>29</v>
      </c>
      <c r="N15">
        <f>Bestand!$F$13 -(L15)</f>
        <v>2</v>
      </c>
    </row>
    <row r="16" spans="1:37">
      <c r="A16" s="5" t="s">
        <v>23</v>
      </c>
      <c r="B16">
        <v>1</v>
      </c>
      <c r="C16">
        <v>1</v>
      </c>
      <c r="D16" s="23" t="s">
        <v>143</v>
      </c>
      <c r="E16">
        <v>1</v>
      </c>
      <c r="F16">
        <v>1</v>
      </c>
      <c r="G16">
        <v>1</v>
      </c>
      <c r="L16">
        <f t="shared" si="2"/>
        <v>5</v>
      </c>
      <c r="M16" s="5" t="s">
        <v>23</v>
      </c>
      <c r="N16">
        <f>Bestand!$F$14 -(L16)</f>
        <v>2</v>
      </c>
    </row>
    <row r="17" spans="1:37">
      <c r="A17" s="5" t="s">
        <v>5</v>
      </c>
      <c r="B17">
        <v>6</v>
      </c>
      <c r="C17">
        <v>10</v>
      </c>
      <c r="D17" s="23" t="s">
        <v>144</v>
      </c>
      <c r="E17">
        <v>6</v>
      </c>
      <c r="F17">
        <v>7</v>
      </c>
      <c r="G17">
        <v>8</v>
      </c>
      <c r="L17">
        <f t="shared" si="2"/>
        <v>37</v>
      </c>
      <c r="M17" s="5" t="s">
        <v>5</v>
      </c>
      <c r="N17">
        <f>Bestand!$F$2 -(L17)</f>
        <v>-5</v>
      </c>
    </row>
    <row r="18" spans="1:37">
      <c r="A18" s="5" t="s">
        <v>7</v>
      </c>
      <c r="C18">
        <v>3</v>
      </c>
      <c r="F18">
        <v>5</v>
      </c>
      <c r="L18">
        <f t="shared" si="2"/>
        <v>8</v>
      </c>
      <c r="M18" s="5" t="s">
        <v>7</v>
      </c>
      <c r="N18">
        <f>Bestand!$F$3 -(L18)</f>
        <v>4</v>
      </c>
    </row>
    <row r="19" spans="1:37">
      <c r="A19" s="5" t="s">
        <v>30</v>
      </c>
      <c r="B19">
        <v>6</v>
      </c>
      <c r="E19">
        <v>6</v>
      </c>
      <c r="F19">
        <v>3</v>
      </c>
      <c r="L19">
        <f t="shared" si="2"/>
        <v>15</v>
      </c>
      <c r="M19" s="5" t="s">
        <v>30</v>
      </c>
      <c r="N19">
        <f>Bestand!$F$8 -(L19)</f>
        <v>18</v>
      </c>
    </row>
    <row r="20" spans="1:37">
      <c r="A20" s="5" t="s">
        <v>15</v>
      </c>
      <c r="G20">
        <v>7</v>
      </c>
      <c r="L20">
        <f t="shared" si="2"/>
        <v>7</v>
      </c>
      <c r="M20" s="5" t="s">
        <v>15</v>
      </c>
      <c r="N20">
        <f>Bestand!$F$9 -(L20)</f>
        <v>5</v>
      </c>
    </row>
    <row r="21" spans="1:37">
      <c r="A21" s="5" t="s">
        <v>16</v>
      </c>
      <c r="B21">
        <v>5</v>
      </c>
      <c r="C21">
        <v>10</v>
      </c>
      <c r="D21" s="23" t="s">
        <v>144</v>
      </c>
      <c r="E21">
        <v>6</v>
      </c>
      <c r="F21">
        <v>6</v>
      </c>
      <c r="G21">
        <v>7</v>
      </c>
      <c r="L21">
        <f t="shared" si="2"/>
        <v>34</v>
      </c>
      <c r="M21" s="5" t="s">
        <v>16</v>
      </c>
      <c r="N21">
        <f>Bestand!$F$10 -(L21)</f>
        <v>-5</v>
      </c>
    </row>
    <row r="22" spans="1:37">
      <c r="A22" s="5" t="s">
        <v>31</v>
      </c>
      <c r="B22">
        <v>5</v>
      </c>
      <c r="C22">
        <v>3</v>
      </c>
      <c r="F22">
        <v>5</v>
      </c>
      <c r="L22">
        <f t="shared" si="2"/>
        <v>13</v>
      </c>
      <c r="M22" s="5" t="s">
        <v>31</v>
      </c>
      <c r="N22">
        <f>Bestand!$F$11 -(L22)</f>
        <v>11</v>
      </c>
    </row>
    <row r="23" spans="1:37">
      <c r="A23" s="5" t="s">
        <v>19</v>
      </c>
      <c r="B23">
        <v>10</v>
      </c>
      <c r="C23">
        <v>4</v>
      </c>
      <c r="D23" s="23" t="s">
        <v>143</v>
      </c>
      <c r="E23">
        <v>1</v>
      </c>
      <c r="F23">
        <v>30</v>
      </c>
      <c r="G23">
        <v>20</v>
      </c>
      <c r="L23">
        <f t="shared" si="2"/>
        <v>65</v>
      </c>
      <c r="M23" s="5" t="s">
        <v>19</v>
      </c>
      <c r="N23">
        <f>Bestand!$F$12 -(L23)</f>
        <v>-34</v>
      </c>
    </row>
    <row r="24" spans="1:37" s="3" customFormat="1">
      <c r="A24" s="3" t="s">
        <v>145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D25" s="23" t="s">
        <v>143</v>
      </c>
      <c r="F25">
        <v>1</v>
      </c>
      <c r="G25">
        <v>2</v>
      </c>
      <c r="L25">
        <f t="shared" ref="L25:L33" si="3">SUM(B25:K25)</f>
        <v>3</v>
      </c>
      <c r="M25" s="5" t="s">
        <v>29</v>
      </c>
      <c r="N25">
        <f>Bestand!$F$13 -(L25)</f>
        <v>6</v>
      </c>
    </row>
    <row r="26" spans="1:37">
      <c r="A26" s="5" t="s">
        <v>23</v>
      </c>
      <c r="D26" s="23" t="s">
        <v>143</v>
      </c>
      <c r="F26">
        <v>1</v>
      </c>
      <c r="G26">
        <v>1</v>
      </c>
      <c r="L26">
        <f t="shared" si="3"/>
        <v>2</v>
      </c>
      <c r="M26" s="5" t="s">
        <v>23</v>
      </c>
      <c r="N26">
        <f>Bestand!$F$14 -(L26)</f>
        <v>5</v>
      </c>
    </row>
    <row r="27" spans="1:37">
      <c r="A27" s="5" t="s">
        <v>5</v>
      </c>
      <c r="D27" s="23" t="s">
        <v>144</v>
      </c>
      <c r="F27">
        <v>7</v>
      </c>
      <c r="G27">
        <v>8</v>
      </c>
      <c r="L27">
        <f t="shared" si="3"/>
        <v>15</v>
      </c>
      <c r="M27" s="5" t="s">
        <v>5</v>
      </c>
      <c r="N27">
        <f>Bestand!$F$2 -(L27)</f>
        <v>17</v>
      </c>
    </row>
    <row r="28" spans="1:37">
      <c r="A28" s="5" t="s">
        <v>7</v>
      </c>
      <c r="F28">
        <v>5</v>
      </c>
      <c r="L28">
        <f t="shared" si="3"/>
        <v>5</v>
      </c>
      <c r="M28" s="5" t="s">
        <v>7</v>
      </c>
      <c r="N28">
        <f>Bestand!$F$3 -(L28)</f>
        <v>7</v>
      </c>
    </row>
    <row r="29" spans="1:37">
      <c r="A29" s="5" t="s">
        <v>30</v>
      </c>
      <c r="F29">
        <v>3</v>
      </c>
      <c r="L29">
        <f t="shared" si="3"/>
        <v>3</v>
      </c>
      <c r="M29" s="5" t="s">
        <v>30</v>
      </c>
      <c r="N29">
        <f>Bestand!$F$8 -(L29)</f>
        <v>30</v>
      </c>
    </row>
    <row r="30" spans="1:37">
      <c r="A30" s="5" t="s">
        <v>15</v>
      </c>
      <c r="G30">
        <v>7</v>
      </c>
      <c r="L30">
        <f t="shared" si="3"/>
        <v>7</v>
      </c>
      <c r="M30" s="5" t="s">
        <v>15</v>
      </c>
      <c r="N30">
        <f>Bestand!$F$9 -(L30)</f>
        <v>5</v>
      </c>
    </row>
    <row r="31" spans="1:37">
      <c r="A31" s="5" t="s">
        <v>16</v>
      </c>
      <c r="D31" s="23" t="s">
        <v>144</v>
      </c>
      <c r="F31">
        <v>6</v>
      </c>
      <c r="G31">
        <v>7</v>
      </c>
      <c r="L31">
        <f t="shared" si="3"/>
        <v>13</v>
      </c>
      <c r="M31" s="5" t="s">
        <v>16</v>
      </c>
      <c r="N31">
        <f>Bestand!$F$10 -(L31)</f>
        <v>16</v>
      </c>
    </row>
    <row r="32" spans="1:37">
      <c r="A32" s="5" t="s">
        <v>31</v>
      </c>
      <c r="F32">
        <v>5</v>
      </c>
      <c r="L32">
        <f t="shared" si="3"/>
        <v>5</v>
      </c>
      <c r="M32" s="5" t="s">
        <v>31</v>
      </c>
      <c r="N32">
        <f>Bestand!$F$11 -(L32)</f>
        <v>19</v>
      </c>
    </row>
    <row r="33" spans="1:37">
      <c r="A33" s="5" t="s">
        <v>19</v>
      </c>
      <c r="D33" s="23" t="s">
        <v>143</v>
      </c>
      <c r="F33">
        <v>30</v>
      </c>
      <c r="G33">
        <v>20</v>
      </c>
      <c r="L33">
        <f t="shared" si="3"/>
        <v>50</v>
      </c>
      <c r="M33" s="5" t="s">
        <v>19</v>
      </c>
      <c r="N33">
        <f>Bestand!$F$12 -(L33)</f>
        <v>-19</v>
      </c>
    </row>
    <row r="34" spans="1:37" s="3" customFormat="1">
      <c r="A34" s="3" t="s">
        <v>146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F35">
        <v>1</v>
      </c>
      <c r="G35">
        <v>2</v>
      </c>
      <c r="L35">
        <f t="shared" ref="L35:L43" si="4">SUM(B35:K35)</f>
        <v>3</v>
      </c>
      <c r="M35" s="5" t="s">
        <v>29</v>
      </c>
      <c r="N35">
        <f>Bestand!$F$13 -(L35)</f>
        <v>6</v>
      </c>
    </row>
    <row r="36" spans="1:37">
      <c r="A36" s="5" t="s">
        <v>23</v>
      </c>
      <c r="F36">
        <v>1</v>
      </c>
      <c r="G36">
        <v>1</v>
      </c>
      <c r="L36">
        <f t="shared" si="4"/>
        <v>2</v>
      </c>
      <c r="M36" s="5" t="s">
        <v>23</v>
      </c>
      <c r="N36">
        <f>Bestand!$F$14 -(L36)</f>
        <v>5</v>
      </c>
    </row>
    <row r="37" spans="1:37">
      <c r="A37" s="5" t="s">
        <v>5</v>
      </c>
      <c r="F37">
        <v>7</v>
      </c>
      <c r="G37">
        <v>8</v>
      </c>
      <c r="L37">
        <f t="shared" si="4"/>
        <v>15</v>
      </c>
      <c r="M37" s="5" t="s">
        <v>5</v>
      </c>
      <c r="N37">
        <f>Bestand!$F$2 -(L37)</f>
        <v>17</v>
      </c>
    </row>
    <row r="38" spans="1:37">
      <c r="A38" s="5" t="s">
        <v>7</v>
      </c>
      <c r="F38">
        <v>5</v>
      </c>
      <c r="L38">
        <f t="shared" si="4"/>
        <v>5</v>
      </c>
      <c r="M38" s="5" t="s">
        <v>7</v>
      </c>
      <c r="N38">
        <f>Bestand!$F$3 -(L38)</f>
        <v>7</v>
      </c>
    </row>
    <row r="39" spans="1:37">
      <c r="A39" s="5" t="s">
        <v>30</v>
      </c>
      <c r="F39">
        <v>3</v>
      </c>
      <c r="L39">
        <f t="shared" si="4"/>
        <v>3</v>
      </c>
      <c r="M39" s="5" t="s">
        <v>30</v>
      </c>
      <c r="N39">
        <f>Bestand!$F$8 -(L39)</f>
        <v>30</v>
      </c>
    </row>
    <row r="40" spans="1:37">
      <c r="A40" s="5" t="s">
        <v>15</v>
      </c>
      <c r="G40">
        <v>7</v>
      </c>
      <c r="L40">
        <f t="shared" si="4"/>
        <v>7</v>
      </c>
      <c r="M40" s="5" t="s">
        <v>15</v>
      </c>
      <c r="N40">
        <f>Bestand!$F$9 -(L40)</f>
        <v>5</v>
      </c>
    </row>
    <row r="41" spans="1:37">
      <c r="A41" s="5" t="s">
        <v>16</v>
      </c>
      <c r="F41">
        <v>6</v>
      </c>
      <c r="G41">
        <v>7</v>
      </c>
      <c r="L41">
        <f t="shared" si="4"/>
        <v>13</v>
      </c>
      <c r="M41" s="5" t="s">
        <v>16</v>
      </c>
      <c r="N41">
        <f>Bestand!$F$10 -(L41)</f>
        <v>16</v>
      </c>
    </row>
    <row r="42" spans="1:37">
      <c r="A42" s="5" t="s">
        <v>31</v>
      </c>
      <c r="F42">
        <v>5</v>
      </c>
      <c r="L42">
        <f t="shared" si="4"/>
        <v>5</v>
      </c>
      <c r="M42" s="5" t="s">
        <v>31</v>
      </c>
      <c r="N42">
        <f>Bestand!$F$11 -(L42)</f>
        <v>19</v>
      </c>
    </row>
    <row r="43" spans="1:37">
      <c r="A43" s="5" t="s">
        <v>19</v>
      </c>
      <c r="F43">
        <v>30</v>
      </c>
      <c r="G43">
        <v>20</v>
      </c>
      <c r="L43">
        <f t="shared" si="4"/>
        <v>50</v>
      </c>
      <c r="M43" s="5" t="s">
        <v>19</v>
      </c>
      <c r="N43">
        <f>Bestand!$F$12 -(L43)</f>
        <v>-19</v>
      </c>
    </row>
    <row r="44" spans="1:37" s="3" customFormat="1">
      <c r="A44" s="3" t="s">
        <v>147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148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149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629" priority="4" operator="lessThanOrEqual">
      <formula>0</formula>
    </cfRule>
    <cfRule type="cellIs" dxfId="628" priority="5" operator="between">
      <formula>1</formula>
      <formula>3</formula>
    </cfRule>
    <cfRule type="expression" dxfId="627" priority="6">
      <formula>AND(N5&gt;3,NOT(ISBLANK(N5)))</formula>
    </cfRule>
  </conditionalFormatting>
  <conditionalFormatting sqref="N15:N23">
    <cfRule type="cellIs" dxfId="626" priority="7" operator="lessThanOrEqual">
      <formula>0</formula>
    </cfRule>
    <cfRule type="cellIs" dxfId="625" priority="8" operator="between">
      <formula>1</formula>
      <formula>3</formula>
    </cfRule>
    <cfRule type="expression" dxfId="624" priority="9">
      <formula>AND(N15&gt;3,NOT(ISBLANK(N15)))</formula>
    </cfRule>
  </conditionalFormatting>
  <conditionalFormatting sqref="N25:N33">
    <cfRule type="cellIs" dxfId="623" priority="10" operator="lessThanOrEqual">
      <formula>0</formula>
    </cfRule>
    <cfRule type="cellIs" dxfId="622" priority="11" operator="between">
      <formula>1</formula>
      <formula>3</formula>
    </cfRule>
    <cfRule type="expression" dxfId="621" priority="12">
      <formula>AND(N25&gt;3,NOT(ISBLANK(N25)))</formula>
    </cfRule>
  </conditionalFormatting>
  <conditionalFormatting sqref="N35:N43">
    <cfRule type="cellIs" dxfId="620" priority="13" operator="lessThanOrEqual">
      <formula>0</formula>
    </cfRule>
    <cfRule type="cellIs" dxfId="619" priority="14" operator="between">
      <formula>1</formula>
      <formula>3</formula>
    </cfRule>
    <cfRule type="expression" dxfId="618" priority="15">
      <formula>AND(N35&gt;3,NOT(ISBLANK(N35)))</formula>
    </cfRule>
  </conditionalFormatting>
  <conditionalFormatting sqref="N45:N53">
    <cfRule type="cellIs" dxfId="617" priority="16" operator="lessThanOrEqual">
      <formula>0</formula>
    </cfRule>
    <cfRule type="cellIs" dxfId="616" priority="17" operator="between">
      <formula>1</formula>
      <formula>3</formula>
    </cfRule>
    <cfRule type="expression" dxfId="615" priority="18">
      <formula>AND(N45&gt;3,NOT(ISBLANK(N45)))</formula>
    </cfRule>
  </conditionalFormatting>
  <conditionalFormatting sqref="N55:N63">
    <cfRule type="cellIs" dxfId="614" priority="19" operator="lessThanOrEqual">
      <formula>0</formula>
    </cfRule>
    <cfRule type="cellIs" dxfId="613" priority="20" operator="between">
      <formula>1</formula>
      <formula>3</formula>
    </cfRule>
    <cfRule type="expression" dxfId="612" priority="21">
      <formula>AND(N55&gt;3,NOT(ISBLANK(N55)))</formula>
    </cfRule>
  </conditionalFormatting>
  <conditionalFormatting sqref="N65:N73">
    <cfRule type="cellIs" dxfId="611" priority="22" operator="lessThanOrEqual">
      <formula>0</formula>
    </cfRule>
    <cfRule type="cellIs" dxfId="610" priority="23" operator="between">
      <formula>1</formula>
      <formula>3</formula>
    </cfRule>
    <cfRule type="expression" dxfId="609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608" priority="4" operator="lessThanOrEqual">
      <formula>0</formula>
    </cfRule>
    <cfRule type="cellIs" dxfId="607" priority="5" operator="between">
      <formula>1</formula>
      <formula>3</formula>
    </cfRule>
    <cfRule type="expression" dxfId="606" priority="6">
      <formula>AND(N5&gt;3,NOT(ISBLANK(N5)))</formula>
    </cfRule>
  </conditionalFormatting>
  <conditionalFormatting sqref="N15:N23">
    <cfRule type="cellIs" dxfId="605" priority="7" operator="lessThanOrEqual">
      <formula>0</formula>
    </cfRule>
    <cfRule type="cellIs" dxfId="604" priority="8" operator="between">
      <formula>1</formula>
      <formula>3</formula>
    </cfRule>
    <cfRule type="expression" dxfId="603" priority="9">
      <formula>AND(N15&gt;3,NOT(ISBLANK(N15)))</formula>
    </cfRule>
  </conditionalFormatting>
  <conditionalFormatting sqref="N25:N33">
    <cfRule type="cellIs" dxfId="602" priority="10" operator="lessThanOrEqual">
      <formula>0</formula>
    </cfRule>
    <cfRule type="cellIs" dxfId="601" priority="11" operator="between">
      <formula>1</formula>
      <formula>3</formula>
    </cfRule>
    <cfRule type="expression" dxfId="600" priority="12">
      <formula>AND(N25&gt;3,NOT(ISBLANK(N25)))</formula>
    </cfRule>
  </conditionalFormatting>
  <conditionalFormatting sqref="N35:N43">
    <cfRule type="cellIs" dxfId="599" priority="13" operator="lessThanOrEqual">
      <formula>0</formula>
    </cfRule>
    <cfRule type="cellIs" dxfId="598" priority="14" operator="between">
      <formula>1</formula>
      <formula>3</formula>
    </cfRule>
    <cfRule type="expression" dxfId="597" priority="15">
      <formula>AND(N35&gt;3,NOT(ISBLANK(N35)))</formula>
    </cfRule>
  </conditionalFormatting>
  <conditionalFormatting sqref="N45:N53">
    <cfRule type="cellIs" dxfId="596" priority="16" operator="lessThanOrEqual">
      <formula>0</formula>
    </cfRule>
    <cfRule type="cellIs" dxfId="595" priority="17" operator="between">
      <formula>1</formula>
      <formula>3</formula>
    </cfRule>
    <cfRule type="expression" dxfId="594" priority="18">
      <formula>AND(N45&gt;3,NOT(ISBLANK(N45)))</formula>
    </cfRule>
  </conditionalFormatting>
  <conditionalFormatting sqref="N55:N63">
    <cfRule type="cellIs" dxfId="593" priority="19" operator="lessThanOrEqual">
      <formula>0</formula>
    </cfRule>
    <cfRule type="cellIs" dxfId="592" priority="20" operator="between">
      <formula>1</formula>
      <formula>3</formula>
    </cfRule>
    <cfRule type="expression" dxfId="591" priority="21">
      <formula>AND(N55&gt;3,NOT(ISBLANK(N55)))</formula>
    </cfRule>
  </conditionalFormatting>
  <conditionalFormatting sqref="N65:N73">
    <cfRule type="cellIs" dxfId="590" priority="22" operator="lessThanOrEqual">
      <formula>0</formula>
    </cfRule>
    <cfRule type="cellIs" dxfId="589" priority="23" operator="between">
      <formula>1</formula>
      <formula>3</formula>
    </cfRule>
    <cfRule type="expression" dxfId="588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587" priority="4" operator="lessThanOrEqual">
      <formula>0</formula>
    </cfRule>
    <cfRule type="cellIs" dxfId="586" priority="5" operator="between">
      <formula>1</formula>
      <formula>3</formula>
    </cfRule>
    <cfRule type="expression" dxfId="585" priority="6">
      <formula>AND(N5&gt;3,NOT(ISBLANK(N5)))</formula>
    </cfRule>
  </conditionalFormatting>
  <conditionalFormatting sqref="N15:N23">
    <cfRule type="cellIs" dxfId="584" priority="7" operator="lessThanOrEqual">
      <formula>0</formula>
    </cfRule>
    <cfRule type="cellIs" dxfId="583" priority="8" operator="between">
      <formula>1</formula>
      <formula>3</formula>
    </cfRule>
    <cfRule type="expression" dxfId="582" priority="9">
      <formula>AND(N15&gt;3,NOT(ISBLANK(N15)))</formula>
    </cfRule>
  </conditionalFormatting>
  <conditionalFormatting sqref="N25:N33">
    <cfRule type="cellIs" dxfId="581" priority="10" operator="lessThanOrEqual">
      <formula>0</formula>
    </cfRule>
    <cfRule type="cellIs" dxfId="580" priority="11" operator="between">
      <formula>1</formula>
      <formula>3</formula>
    </cfRule>
    <cfRule type="expression" dxfId="579" priority="12">
      <formula>AND(N25&gt;3,NOT(ISBLANK(N25)))</formula>
    </cfRule>
  </conditionalFormatting>
  <conditionalFormatting sqref="N35:N43">
    <cfRule type="cellIs" dxfId="578" priority="13" operator="lessThanOrEqual">
      <formula>0</formula>
    </cfRule>
    <cfRule type="cellIs" dxfId="577" priority="14" operator="between">
      <formula>1</formula>
      <formula>3</formula>
    </cfRule>
    <cfRule type="expression" dxfId="576" priority="15">
      <formula>AND(N35&gt;3,NOT(ISBLANK(N35)))</formula>
    </cfRule>
  </conditionalFormatting>
  <conditionalFormatting sqref="N45:N53">
    <cfRule type="cellIs" dxfId="575" priority="16" operator="lessThanOrEqual">
      <formula>0</formula>
    </cfRule>
    <cfRule type="cellIs" dxfId="574" priority="17" operator="between">
      <formula>1</formula>
      <formula>3</formula>
    </cfRule>
    <cfRule type="expression" dxfId="573" priority="18">
      <formula>AND(N45&gt;3,NOT(ISBLANK(N45)))</formula>
    </cfRule>
  </conditionalFormatting>
  <conditionalFormatting sqref="N55:N63">
    <cfRule type="cellIs" dxfId="572" priority="19" operator="lessThanOrEqual">
      <formula>0</formula>
    </cfRule>
    <cfRule type="cellIs" dxfId="571" priority="20" operator="between">
      <formula>1</formula>
      <formula>3</formula>
    </cfRule>
    <cfRule type="expression" dxfId="570" priority="21">
      <formula>AND(N55&gt;3,NOT(ISBLANK(N55)))</formula>
    </cfRule>
  </conditionalFormatting>
  <conditionalFormatting sqref="N65:N73">
    <cfRule type="cellIs" dxfId="569" priority="22" operator="lessThanOrEqual">
      <formula>0</formula>
    </cfRule>
    <cfRule type="cellIs" dxfId="568" priority="23" operator="between">
      <formula>1</formula>
      <formula>3</formula>
    </cfRule>
    <cfRule type="expression" dxfId="567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566" priority="4" operator="lessThanOrEqual">
      <formula>0</formula>
    </cfRule>
    <cfRule type="cellIs" dxfId="565" priority="5" operator="between">
      <formula>1</formula>
      <formula>3</formula>
    </cfRule>
    <cfRule type="expression" dxfId="564" priority="6">
      <formula>AND(N5&gt;3,NOT(ISBLANK(N5)))</formula>
    </cfRule>
  </conditionalFormatting>
  <conditionalFormatting sqref="N15:N23">
    <cfRule type="cellIs" dxfId="563" priority="7" operator="lessThanOrEqual">
      <formula>0</formula>
    </cfRule>
    <cfRule type="cellIs" dxfId="562" priority="8" operator="between">
      <formula>1</formula>
      <formula>3</formula>
    </cfRule>
    <cfRule type="expression" dxfId="561" priority="9">
      <formula>AND(N15&gt;3,NOT(ISBLANK(N15)))</formula>
    </cfRule>
  </conditionalFormatting>
  <conditionalFormatting sqref="N25:N33">
    <cfRule type="cellIs" dxfId="560" priority="10" operator="lessThanOrEqual">
      <formula>0</formula>
    </cfRule>
    <cfRule type="cellIs" dxfId="559" priority="11" operator="between">
      <formula>1</formula>
      <formula>3</formula>
    </cfRule>
    <cfRule type="expression" dxfId="558" priority="12">
      <formula>AND(N25&gt;3,NOT(ISBLANK(N25)))</formula>
    </cfRule>
  </conditionalFormatting>
  <conditionalFormatting sqref="N35:N43">
    <cfRule type="cellIs" dxfId="557" priority="13" operator="lessThanOrEqual">
      <formula>0</formula>
    </cfRule>
    <cfRule type="cellIs" dxfId="556" priority="14" operator="between">
      <formula>1</formula>
      <formula>3</formula>
    </cfRule>
    <cfRule type="expression" dxfId="555" priority="15">
      <formula>AND(N35&gt;3,NOT(ISBLANK(N35)))</formula>
    </cfRule>
  </conditionalFormatting>
  <conditionalFormatting sqref="N45:N53">
    <cfRule type="cellIs" dxfId="554" priority="16" operator="lessThanOrEqual">
      <formula>0</formula>
    </cfRule>
    <cfRule type="cellIs" dxfId="553" priority="17" operator="between">
      <formula>1</formula>
      <formula>3</formula>
    </cfRule>
    <cfRule type="expression" dxfId="552" priority="18">
      <formula>AND(N45&gt;3,NOT(ISBLANK(N45)))</formula>
    </cfRule>
  </conditionalFormatting>
  <conditionalFormatting sqref="N55:N63">
    <cfRule type="cellIs" dxfId="551" priority="19" operator="lessThanOrEqual">
      <formula>0</formula>
    </cfRule>
    <cfRule type="cellIs" dxfId="550" priority="20" operator="between">
      <formula>1</formula>
      <formula>3</formula>
    </cfRule>
    <cfRule type="expression" dxfId="549" priority="21">
      <formula>AND(N55&gt;3,NOT(ISBLANK(N55)))</formula>
    </cfRule>
  </conditionalFormatting>
  <conditionalFormatting sqref="N65:N73">
    <cfRule type="cellIs" dxfId="548" priority="22" operator="lessThanOrEqual">
      <formula>0</formula>
    </cfRule>
    <cfRule type="cellIs" dxfId="547" priority="23" operator="between">
      <formula>1</formula>
      <formula>3</formula>
    </cfRule>
    <cfRule type="expression" dxfId="546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545" priority="4" operator="lessThanOrEqual">
      <formula>0</formula>
    </cfRule>
    <cfRule type="cellIs" dxfId="544" priority="5" operator="between">
      <formula>1</formula>
      <formula>3</formula>
    </cfRule>
    <cfRule type="expression" dxfId="543" priority="6">
      <formula>AND(N5&gt;3,NOT(ISBLANK(N5)))</formula>
    </cfRule>
  </conditionalFormatting>
  <conditionalFormatting sqref="N15:N23">
    <cfRule type="cellIs" dxfId="542" priority="7" operator="lessThanOrEqual">
      <formula>0</formula>
    </cfRule>
    <cfRule type="cellIs" dxfId="541" priority="8" operator="between">
      <formula>1</formula>
      <formula>3</formula>
    </cfRule>
    <cfRule type="expression" dxfId="540" priority="9">
      <formula>AND(N15&gt;3,NOT(ISBLANK(N15)))</formula>
    </cfRule>
  </conditionalFormatting>
  <conditionalFormatting sqref="N25:N33">
    <cfRule type="cellIs" dxfId="539" priority="10" operator="lessThanOrEqual">
      <formula>0</formula>
    </cfRule>
    <cfRule type="cellIs" dxfId="538" priority="11" operator="between">
      <formula>1</formula>
      <formula>3</formula>
    </cfRule>
    <cfRule type="expression" dxfId="537" priority="12">
      <formula>AND(N25&gt;3,NOT(ISBLANK(N25)))</formula>
    </cfRule>
  </conditionalFormatting>
  <conditionalFormatting sqref="N35:N43">
    <cfRule type="cellIs" dxfId="536" priority="13" operator="lessThanOrEqual">
      <formula>0</formula>
    </cfRule>
    <cfRule type="cellIs" dxfId="535" priority="14" operator="between">
      <formula>1</formula>
      <formula>3</formula>
    </cfRule>
    <cfRule type="expression" dxfId="534" priority="15">
      <formula>AND(N35&gt;3,NOT(ISBLANK(N35)))</formula>
    </cfRule>
  </conditionalFormatting>
  <conditionalFormatting sqref="N45:N53">
    <cfRule type="cellIs" dxfId="533" priority="16" operator="lessThanOrEqual">
      <formula>0</formula>
    </cfRule>
    <cfRule type="cellIs" dxfId="532" priority="17" operator="between">
      <formula>1</formula>
      <formula>3</formula>
    </cfRule>
    <cfRule type="expression" dxfId="531" priority="18">
      <formula>AND(N45&gt;3,NOT(ISBLANK(N45)))</formula>
    </cfRule>
  </conditionalFormatting>
  <conditionalFormatting sqref="N55:N63">
    <cfRule type="cellIs" dxfId="530" priority="19" operator="lessThanOrEqual">
      <formula>0</formula>
    </cfRule>
    <cfRule type="cellIs" dxfId="529" priority="20" operator="between">
      <formula>1</formula>
      <formula>3</formula>
    </cfRule>
    <cfRule type="expression" dxfId="528" priority="21">
      <formula>AND(N55&gt;3,NOT(ISBLANK(N55)))</formula>
    </cfRule>
  </conditionalFormatting>
  <conditionalFormatting sqref="N65:N73">
    <cfRule type="cellIs" dxfId="527" priority="22" operator="lessThanOrEqual">
      <formula>0</formula>
    </cfRule>
    <cfRule type="cellIs" dxfId="526" priority="23" operator="between">
      <formula>1</formula>
      <formula>3</formula>
    </cfRule>
    <cfRule type="expression" dxfId="525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524" priority="4" operator="lessThanOrEqual">
      <formula>0</formula>
    </cfRule>
    <cfRule type="cellIs" dxfId="523" priority="5" operator="between">
      <formula>1</formula>
      <formula>3</formula>
    </cfRule>
    <cfRule type="expression" dxfId="522" priority="6">
      <formula>AND(N5&gt;3,NOT(ISBLANK(N5)))</formula>
    </cfRule>
  </conditionalFormatting>
  <conditionalFormatting sqref="N15:N23">
    <cfRule type="cellIs" dxfId="521" priority="7" operator="lessThanOrEqual">
      <formula>0</formula>
    </cfRule>
    <cfRule type="cellIs" dxfId="520" priority="8" operator="between">
      <formula>1</formula>
      <formula>3</formula>
    </cfRule>
    <cfRule type="expression" dxfId="519" priority="9">
      <formula>AND(N15&gt;3,NOT(ISBLANK(N15)))</formula>
    </cfRule>
  </conditionalFormatting>
  <conditionalFormatting sqref="N25:N33">
    <cfRule type="cellIs" dxfId="518" priority="10" operator="lessThanOrEqual">
      <formula>0</formula>
    </cfRule>
    <cfRule type="cellIs" dxfId="517" priority="11" operator="between">
      <formula>1</formula>
      <formula>3</formula>
    </cfRule>
    <cfRule type="expression" dxfId="516" priority="12">
      <formula>AND(N25&gt;3,NOT(ISBLANK(N25)))</formula>
    </cfRule>
  </conditionalFormatting>
  <conditionalFormatting sqref="N35:N43">
    <cfRule type="cellIs" dxfId="515" priority="13" operator="lessThanOrEqual">
      <formula>0</formula>
    </cfRule>
    <cfRule type="cellIs" dxfId="514" priority="14" operator="between">
      <formula>1</formula>
      <formula>3</formula>
    </cfRule>
    <cfRule type="expression" dxfId="513" priority="15">
      <formula>AND(N35&gt;3,NOT(ISBLANK(N35)))</formula>
    </cfRule>
  </conditionalFormatting>
  <conditionalFormatting sqref="N45:N53">
    <cfRule type="cellIs" dxfId="512" priority="16" operator="lessThanOrEqual">
      <formula>0</formula>
    </cfRule>
    <cfRule type="cellIs" dxfId="511" priority="17" operator="between">
      <formula>1</formula>
      <formula>3</formula>
    </cfRule>
    <cfRule type="expression" dxfId="510" priority="18">
      <formula>AND(N45&gt;3,NOT(ISBLANK(N45)))</formula>
    </cfRule>
  </conditionalFormatting>
  <conditionalFormatting sqref="N55:N63">
    <cfRule type="cellIs" dxfId="509" priority="19" operator="lessThanOrEqual">
      <formula>0</formula>
    </cfRule>
    <cfRule type="cellIs" dxfId="508" priority="20" operator="between">
      <formula>1</formula>
      <formula>3</formula>
    </cfRule>
    <cfRule type="expression" dxfId="507" priority="21">
      <formula>AND(N55&gt;3,NOT(ISBLANK(N55)))</formula>
    </cfRule>
  </conditionalFormatting>
  <conditionalFormatting sqref="N65:N73">
    <cfRule type="cellIs" dxfId="506" priority="22" operator="lessThanOrEqual">
      <formula>0</formula>
    </cfRule>
    <cfRule type="cellIs" dxfId="505" priority="23" operator="between">
      <formula>1</formula>
      <formula>3</formula>
    </cfRule>
    <cfRule type="expression" dxfId="504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K73"/>
  <sheetViews>
    <sheetView workbookViewId="0">
      <selection activeCell="B3" sqref="B3:K3"/>
    </sheetView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IF(SUM(B5:B13)&gt;0,
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Scanner"&amp;CHAR(10),""),
"")&amp;
IF(SUM(B15:B23)&gt;0,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Scanner"&amp;CHAR(10),""),
"")&amp;
IF(SUM(B25:B33)&gt;0,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Scanner"&amp;CHAR(10),""),
"")&amp;
IF(SUM(B35:B43)&gt;0,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Scanner"&amp;CHAR(10),""),
"")&amp;
IF(SUM(B45:B53)&gt;0,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Scanner"&amp;CHAR(10),""),
"")&amp;
IF(SUM(B55:B63)&gt;0,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Scanner"&amp;CHAR(10),""),
"")&amp;
IF(SUM(B65:B73)&gt;0,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Scanner"&amp;CHAR(10),""),
"")</f>
        <v/>
      </c>
      <c r="C3" s="2" t="str">
        <f t="shared" ref="C3:K3" si="0">IF(SUM(C5:C13)&gt;0,
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Scanner"&amp;CHAR(10),""),
"")&amp;
IF(SUM(C15:C23)&gt;0,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Scanner"&amp;CHAR(10),""),
"")&amp;
IF(SUM(C25:C33)&gt;0,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Scanner"&amp;CHAR(10),""),
"")&amp;
IF(SUM(C35:C43)&gt;0,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Scanner"&amp;CHAR(10),""),
"")&amp;
IF(SUM(C45:C53)&gt;0,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Scanner"&amp;CHAR(10),""),
"")&amp;
IF(SUM(C55:C63)&gt;0,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Scanner"&amp;CHAR(10),""),
"")&amp;
IF(SUM(C65:C73)&gt;0,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Scanner"&amp;CHAR(10),""),
"")</f>
        <v/>
      </c>
      <c r="D3" s="2" t="str">
        <f t="shared" si="0"/>
        <v/>
      </c>
      <c r="E3" s="2" t="str">
        <f t="shared" si="0"/>
        <v/>
      </c>
      <c r="F3" s="2" t="str">
        <f t="shared" si="0"/>
        <v/>
      </c>
      <c r="G3" s="2" t="str">
        <f t="shared" si="0"/>
        <v/>
      </c>
      <c r="H3" s="2" t="str">
        <f t="shared" si="0"/>
        <v/>
      </c>
      <c r="I3" s="2" t="str">
        <f t="shared" si="0"/>
        <v/>
      </c>
      <c r="J3" s="2" t="str">
        <f t="shared" si="0"/>
        <v/>
      </c>
      <c r="K3" s="2" t="str">
        <f t="shared" si="0"/>
        <v/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503" priority="4" operator="lessThanOrEqual">
      <formula>0</formula>
    </cfRule>
    <cfRule type="cellIs" dxfId="502" priority="5" operator="between">
      <formula>1</formula>
      <formula>3</formula>
    </cfRule>
    <cfRule type="expression" dxfId="501" priority="6">
      <formula>AND(N5&gt;3,NOT(ISBLANK(N5)))</formula>
    </cfRule>
  </conditionalFormatting>
  <conditionalFormatting sqref="N15:N23">
    <cfRule type="cellIs" dxfId="500" priority="7" operator="lessThanOrEqual">
      <formula>0</formula>
    </cfRule>
    <cfRule type="cellIs" dxfId="499" priority="8" operator="between">
      <formula>1</formula>
      <formula>3</formula>
    </cfRule>
    <cfRule type="expression" dxfId="498" priority="9">
      <formula>AND(N15&gt;3,NOT(ISBLANK(N15)))</formula>
    </cfRule>
  </conditionalFormatting>
  <conditionalFormatting sqref="N25:N33">
    <cfRule type="cellIs" dxfId="497" priority="10" operator="lessThanOrEqual">
      <formula>0</formula>
    </cfRule>
    <cfRule type="cellIs" dxfId="496" priority="11" operator="between">
      <formula>1</formula>
      <formula>3</formula>
    </cfRule>
    <cfRule type="expression" dxfId="495" priority="12">
      <formula>AND(N25&gt;3,NOT(ISBLANK(N25)))</formula>
    </cfRule>
  </conditionalFormatting>
  <conditionalFormatting sqref="N35:N43">
    <cfRule type="cellIs" dxfId="494" priority="13" operator="lessThanOrEqual">
      <formula>0</formula>
    </cfRule>
    <cfRule type="cellIs" dxfId="493" priority="14" operator="between">
      <formula>1</formula>
      <formula>3</formula>
    </cfRule>
    <cfRule type="expression" dxfId="492" priority="15">
      <formula>AND(N35&gt;3,NOT(ISBLANK(N35)))</formula>
    </cfRule>
  </conditionalFormatting>
  <conditionalFormatting sqref="N45:N53">
    <cfRule type="cellIs" dxfId="491" priority="16" operator="lessThanOrEqual">
      <formula>0</formula>
    </cfRule>
    <cfRule type="cellIs" dxfId="490" priority="17" operator="between">
      <formula>1</formula>
      <formula>3</formula>
    </cfRule>
    <cfRule type="expression" dxfId="489" priority="18">
      <formula>AND(N45&gt;3,NOT(ISBLANK(N45)))</formula>
    </cfRule>
  </conditionalFormatting>
  <conditionalFormatting sqref="N55:N63">
    <cfRule type="cellIs" dxfId="488" priority="19" operator="lessThanOrEqual">
      <formula>0</formula>
    </cfRule>
    <cfRule type="cellIs" dxfId="487" priority="20" operator="between">
      <formula>1</formula>
      <formula>3</formula>
    </cfRule>
    <cfRule type="expression" dxfId="486" priority="21">
      <formula>AND(N55&gt;3,NOT(ISBLANK(N55)))</formula>
    </cfRule>
  </conditionalFormatting>
  <conditionalFormatting sqref="N65:N73">
    <cfRule type="cellIs" dxfId="485" priority="22" operator="lessThanOrEqual">
      <formula>0</formula>
    </cfRule>
    <cfRule type="cellIs" dxfId="484" priority="23" operator="between">
      <formula>1</formula>
      <formula>3</formula>
    </cfRule>
    <cfRule type="expression" dxfId="483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482" priority="4" operator="lessThanOrEqual">
      <formula>0</formula>
    </cfRule>
    <cfRule type="cellIs" dxfId="481" priority="5" operator="between">
      <formula>1</formula>
      <formula>3</formula>
    </cfRule>
    <cfRule type="expression" dxfId="480" priority="6">
      <formula>AND(N5&gt;3,NOT(ISBLANK(N5)))</formula>
    </cfRule>
  </conditionalFormatting>
  <conditionalFormatting sqref="N15:N23">
    <cfRule type="cellIs" dxfId="479" priority="7" operator="lessThanOrEqual">
      <formula>0</formula>
    </cfRule>
    <cfRule type="cellIs" dxfId="478" priority="8" operator="between">
      <formula>1</formula>
      <formula>3</formula>
    </cfRule>
    <cfRule type="expression" dxfId="477" priority="9">
      <formula>AND(N15&gt;3,NOT(ISBLANK(N15)))</formula>
    </cfRule>
  </conditionalFormatting>
  <conditionalFormatting sqref="N25:N33">
    <cfRule type="cellIs" dxfId="476" priority="10" operator="lessThanOrEqual">
      <formula>0</formula>
    </cfRule>
    <cfRule type="cellIs" dxfId="475" priority="11" operator="between">
      <formula>1</formula>
      <formula>3</formula>
    </cfRule>
    <cfRule type="expression" dxfId="474" priority="12">
      <formula>AND(N25&gt;3,NOT(ISBLANK(N25)))</formula>
    </cfRule>
  </conditionalFormatting>
  <conditionalFormatting sqref="N35:N43">
    <cfRule type="cellIs" dxfId="473" priority="13" operator="lessThanOrEqual">
      <formula>0</formula>
    </cfRule>
    <cfRule type="cellIs" dxfId="472" priority="14" operator="between">
      <formula>1</formula>
      <formula>3</formula>
    </cfRule>
    <cfRule type="expression" dxfId="471" priority="15">
      <formula>AND(N35&gt;3,NOT(ISBLANK(N35)))</formula>
    </cfRule>
  </conditionalFormatting>
  <conditionalFormatting sqref="N45:N53">
    <cfRule type="cellIs" dxfId="470" priority="16" operator="lessThanOrEqual">
      <formula>0</formula>
    </cfRule>
    <cfRule type="cellIs" dxfId="469" priority="17" operator="between">
      <formula>1</formula>
      <formula>3</formula>
    </cfRule>
    <cfRule type="expression" dxfId="468" priority="18">
      <formula>AND(N45&gt;3,NOT(ISBLANK(N45)))</formula>
    </cfRule>
  </conditionalFormatting>
  <conditionalFormatting sqref="N55:N63">
    <cfRule type="cellIs" dxfId="467" priority="19" operator="lessThanOrEqual">
      <formula>0</formula>
    </cfRule>
    <cfRule type="cellIs" dxfId="466" priority="20" operator="between">
      <formula>1</formula>
      <formula>3</formula>
    </cfRule>
    <cfRule type="expression" dxfId="465" priority="21">
      <formula>AND(N55&gt;3,NOT(ISBLANK(N55)))</formula>
    </cfRule>
  </conditionalFormatting>
  <conditionalFormatting sqref="N65:N73">
    <cfRule type="cellIs" dxfId="464" priority="22" operator="lessThanOrEqual">
      <formula>0</formula>
    </cfRule>
    <cfRule type="cellIs" dxfId="463" priority="23" operator="between">
      <formula>1</formula>
      <formula>3</formula>
    </cfRule>
    <cfRule type="expression" dxfId="462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461" priority="4" operator="lessThanOrEqual">
      <formula>0</formula>
    </cfRule>
    <cfRule type="cellIs" dxfId="460" priority="5" operator="between">
      <formula>1</formula>
      <formula>3</formula>
    </cfRule>
    <cfRule type="expression" dxfId="459" priority="6">
      <formula>AND(N5&gt;3,NOT(ISBLANK(N5)))</formula>
    </cfRule>
  </conditionalFormatting>
  <conditionalFormatting sqref="N15:N23">
    <cfRule type="cellIs" dxfId="458" priority="7" operator="lessThanOrEqual">
      <formula>0</formula>
    </cfRule>
    <cfRule type="cellIs" dxfId="457" priority="8" operator="between">
      <formula>1</formula>
      <formula>3</formula>
    </cfRule>
    <cfRule type="expression" dxfId="456" priority="9">
      <formula>AND(N15&gt;3,NOT(ISBLANK(N15)))</formula>
    </cfRule>
  </conditionalFormatting>
  <conditionalFormatting sqref="N25:N33">
    <cfRule type="cellIs" dxfId="455" priority="10" operator="lessThanOrEqual">
      <formula>0</formula>
    </cfRule>
    <cfRule type="cellIs" dxfId="454" priority="11" operator="between">
      <formula>1</formula>
      <formula>3</formula>
    </cfRule>
    <cfRule type="expression" dxfId="453" priority="12">
      <formula>AND(N25&gt;3,NOT(ISBLANK(N25)))</formula>
    </cfRule>
  </conditionalFormatting>
  <conditionalFormatting sqref="N35:N43">
    <cfRule type="cellIs" dxfId="452" priority="13" operator="lessThanOrEqual">
      <formula>0</formula>
    </cfRule>
    <cfRule type="cellIs" dxfId="451" priority="14" operator="between">
      <formula>1</formula>
      <formula>3</formula>
    </cfRule>
    <cfRule type="expression" dxfId="450" priority="15">
      <formula>AND(N35&gt;3,NOT(ISBLANK(N35)))</formula>
    </cfRule>
  </conditionalFormatting>
  <conditionalFormatting sqref="N45:N53">
    <cfRule type="cellIs" dxfId="449" priority="16" operator="lessThanOrEqual">
      <formula>0</formula>
    </cfRule>
    <cfRule type="cellIs" dxfId="448" priority="17" operator="between">
      <formula>1</formula>
      <formula>3</formula>
    </cfRule>
    <cfRule type="expression" dxfId="447" priority="18">
      <formula>AND(N45&gt;3,NOT(ISBLANK(N45)))</formula>
    </cfRule>
  </conditionalFormatting>
  <conditionalFormatting sqref="N55:N63">
    <cfRule type="cellIs" dxfId="446" priority="19" operator="lessThanOrEqual">
      <formula>0</formula>
    </cfRule>
    <cfRule type="cellIs" dxfId="445" priority="20" operator="between">
      <formula>1</formula>
      <formula>3</formula>
    </cfRule>
    <cfRule type="expression" dxfId="444" priority="21">
      <formula>AND(N55&gt;3,NOT(ISBLANK(N55)))</formula>
    </cfRule>
  </conditionalFormatting>
  <conditionalFormatting sqref="N65:N73">
    <cfRule type="cellIs" dxfId="443" priority="22" operator="lessThanOrEqual">
      <formula>0</formula>
    </cfRule>
    <cfRule type="cellIs" dxfId="442" priority="23" operator="between">
      <formula>1</formula>
      <formula>3</formula>
    </cfRule>
    <cfRule type="expression" dxfId="441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440" priority="4" operator="lessThanOrEqual">
      <formula>0</formula>
    </cfRule>
    <cfRule type="cellIs" dxfId="439" priority="5" operator="between">
      <formula>1</formula>
      <formula>3</formula>
    </cfRule>
    <cfRule type="expression" dxfId="438" priority="6">
      <formula>AND(N5&gt;3,NOT(ISBLANK(N5)))</formula>
    </cfRule>
  </conditionalFormatting>
  <conditionalFormatting sqref="N15:N23">
    <cfRule type="cellIs" dxfId="437" priority="7" operator="lessThanOrEqual">
      <formula>0</formula>
    </cfRule>
    <cfRule type="cellIs" dxfId="436" priority="8" operator="between">
      <formula>1</formula>
      <formula>3</formula>
    </cfRule>
    <cfRule type="expression" dxfId="435" priority="9">
      <formula>AND(N15&gt;3,NOT(ISBLANK(N15)))</formula>
    </cfRule>
  </conditionalFormatting>
  <conditionalFormatting sqref="N25:N33">
    <cfRule type="cellIs" dxfId="434" priority="10" operator="lessThanOrEqual">
      <formula>0</formula>
    </cfRule>
    <cfRule type="cellIs" dxfId="433" priority="11" operator="between">
      <formula>1</formula>
      <formula>3</formula>
    </cfRule>
    <cfRule type="expression" dxfId="432" priority="12">
      <formula>AND(N25&gt;3,NOT(ISBLANK(N25)))</formula>
    </cfRule>
  </conditionalFormatting>
  <conditionalFormatting sqref="N35:N43">
    <cfRule type="cellIs" dxfId="431" priority="13" operator="lessThanOrEqual">
      <formula>0</formula>
    </cfRule>
    <cfRule type="cellIs" dxfId="430" priority="14" operator="between">
      <formula>1</formula>
      <formula>3</formula>
    </cfRule>
    <cfRule type="expression" dxfId="429" priority="15">
      <formula>AND(N35&gt;3,NOT(ISBLANK(N35)))</formula>
    </cfRule>
  </conditionalFormatting>
  <conditionalFormatting sqref="N45:N53">
    <cfRule type="cellIs" dxfId="428" priority="16" operator="lessThanOrEqual">
      <formula>0</formula>
    </cfRule>
    <cfRule type="cellIs" dxfId="427" priority="17" operator="between">
      <formula>1</formula>
      <formula>3</formula>
    </cfRule>
    <cfRule type="expression" dxfId="426" priority="18">
      <formula>AND(N45&gt;3,NOT(ISBLANK(N45)))</formula>
    </cfRule>
  </conditionalFormatting>
  <conditionalFormatting sqref="N55:N63">
    <cfRule type="cellIs" dxfId="425" priority="19" operator="lessThanOrEqual">
      <formula>0</formula>
    </cfRule>
    <cfRule type="cellIs" dxfId="424" priority="20" operator="between">
      <formula>1</formula>
      <formula>3</formula>
    </cfRule>
    <cfRule type="expression" dxfId="423" priority="21">
      <formula>AND(N55&gt;3,NOT(ISBLANK(N55)))</formula>
    </cfRule>
  </conditionalFormatting>
  <conditionalFormatting sqref="N65:N73">
    <cfRule type="cellIs" dxfId="422" priority="22" operator="lessThanOrEqual">
      <formula>0</formula>
    </cfRule>
    <cfRule type="cellIs" dxfId="421" priority="23" operator="between">
      <formula>1</formula>
      <formula>3</formula>
    </cfRule>
    <cfRule type="expression" dxfId="420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419" priority="4" operator="lessThanOrEqual">
      <formula>0</formula>
    </cfRule>
    <cfRule type="cellIs" dxfId="418" priority="5" operator="between">
      <formula>1</formula>
      <formula>3</formula>
    </cfRule>
    <cfRule type="expression" dxfId="417" priority="6">
      <formula>AND(N5&gt;3,NOT(ISBLANK(N5)))</formula>
    </cfRule>
  </conditionalFormatting>
  <conditionalFormatting sqref="N15:N23">
    <cfRule type="cellIs" dxfId="416" priority="7" operator="lessThanOrEqual">
      <formula>0</formula>
    </cfRule>
    <cfRule type="cellIs" dxfId="415" priority="8" operator="between">
      <formula>1</formula>
      <formula>3</formula>
    </cfRule>
    <cfRule type="expression" dxfId="414" priority="9">
      <formula>AND(N15&gt;3,NOT(ISBLANK(N15)))</formula>
    </cfRule>
  </conditionalFormatting>
  <conditionalFormatting sqref="N25:N33">
    <cfRule type="cellIs" dxfId="413" priority="10" operator="lessThanOrEqual">
      <formula>0</formula>
    </cfRule>
    <cfRule type="cellIs" dxfId="412" priority="11" operator="between">
      <formula>1</formula>
      <formula>3</formula>
    </cfRule>
    <cfRule type="expression" dxfId="411" priority="12">
      <formula>AND(N25&gt;3,NOT(ISBLANK(N25)))</formula>
    </cfRule>
  </conditionalFormatting>
  <conditionalFormatting sqref="N35:N43">
    <cfRule type="cellIs" dxfId="410" priority="13" operator="lessThanOrEqual">
      <formula>0</formula>
    </cfRule>
    <cfRule type="cellIs" dxfId="409" priority="14" operator="between">
      <formula>1</formula>
      <formula>3</formula>
    </cfRule>
    <cfRule type="expression" dxfId="408" priority="15">
      <formula>AND(N35&gt;3,NOT(ISBLANK(N35)))</formula>
    </cfRule>
  </conditionalFormatting>
  <conditionalFormatting sqref="N45:N53">
    <cfRule type="cellIs" dxfId="407" priority="16" operator="lessThanOrEqual">
      <formula>0</formula>
    </cfRule>
    <cfRule type="cellIs" dxfId="406" priority="17" operator="between">
      <formula>1</formula>
      <formula>3</formula>
    </cfRule>
    <cfRule type="expression" dxfId="405" priority="18">
      <formula>AND(N45&gt;3,NOT(ISBLANK(N45)))</formula>
    </cfRule>
  </conditionalFormatting>
  <conditionalFormatting sqref="N55:N63">
    <cfRule type="cellIs" dxfId="404" priority="19" operator="lessThanOrEqual">
      <formula>0</formula>
    </cfRule>
    <cfRule type="cellIs" dxfId="403" priority="20" operator="between">
      <formula>1</formula>
      <formula>3</formula>
    </cfRule>
    <cfRule type="expression" dxfId="402" priority="21">
      <formula>AND(N55&gt;3,NOT(ISBLANK(N55)))</formula>
    </cfRule>
  </conditionalFormatting>
  <conditionalFormatting sqref="N65:N73">
    <cfRule type="cellIs" dxfId="401" priority="22" operator="lessThanOrEqual">
      <formula>0</formula>
    </cfRule>
    <cfRule type="cellIs" dxfId="400" priority="23" operator="between">
      <formula>1</formula>
      <formula>3</formula>
    </cfRule>
    <cfRule type="expression" dxfId="399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398" priority="4" operator="lessThanOrEqual">
      <formula>0</formula>
    </cfRule>
    <cfRule type="cellIs" dxfId="397" priority="5" operator="between">
      <formula>1</formula>
      <formula>3</formula>
    </cfRule>
    <cfRule type="expression" dxfId="396" priority="6">
      <formula>AND(N5&gt;3,NOT(ISBLANK(N5)))</formula>
    </cfRule>
  </conditionalFormatting>
  <conditionalFormatting sqref="N15:N23">
    <cfRule type="cellIs" dxfId="395" priority="7" operator="lessThanOrEqual">
      <formula>0</formula>
    </cfRule>
    <cfRule type="cellIs" dxfId="394" priority="8" operator="between">
      <formula>1</formula>
      <formula>3</formula>
    </cfRule>
    <cfRule type="expression" dxfId="393" priority="9">
      <formula>AND(N15&gt;3,NOT(ISBLANK(N15)))</formula>
    </cfRule>
  </conditionalFormatting>
  <conditionalFormatting sqref="N25:N33">
    <cfRule type="cellIs" dxfId="392" priority="10" operator="lessThanOrEqual">
      <formula>0</formula>
    </cfRule>
    <cfRule type="cellIs" dxfId="391" priority="11" operator="between">
      <formula>1</formula>
      <formula>3</formula>
    </cfRule>
    <cfRule type="expression" dxfId="390" priority="12">
      <formula>AND(N25&gt;3,NOT(ISBLANK(N25)))</formula>
    </cfRule>
  </conditionalFormatting>
  <conditionalFormatting sqref="N35:N43">
    <cfRule type="cellIs" dxfId="389" priority="13" operator="lessThanOrEqual">
      <formula>0</formula>
    </cfRule>
    <cfRule type="cellIs" dxfId="388" priority="14" operator="between">
      <formula>1</formula>
      <formula>3</formula>
    </cfRule>
    <cfRule type="expression" dxfId="387" priority="15">
      <formula>AND(N35&gt;3,NOT(ISBLANK(N35)))</formula>
    </cfRule>
  </conditionalFormatting>
  <conditionalFormatting sqref="N45:N53">
    <cfRule type="cellIs" dxfId="386" priority="16" operator="lessThanOrEqual">
      <formula>0</formula>
    </cfRule>
    <cfRule type="cellIs" dxfId="385" priority="17" operator="between">
      <formula>1</formula>
      <formula>3</formula>
    </cfRule>
    <cfRule type="expression" dxfId="384" priority="18">
      <formula>AND(N45&gt;3,NOT(ISBLANK(N45)))</formula>
    </cfRule>
  </conditionalFormatting>
  <conditionalFormatting sqref="N55:N63">
    <cfRule type="cellIs" dxfId="383" priority="19" operator="lessThanOrEqual">
      <formula>0</formula>
    </cfRule>
    <cfRule type="cellIs" dxfId="382" priority="20" operator="between">
      <formula>1</formula>
      <formula>3</formula>
    </cfRule>
    <cfRule type="expression" dxfId="381" priority="21">
      <formula>AND(N55&gt;3,NOT(ISBLANK(N55)))</formula>
    </cfRule>
  </conditionalFormatting>
  <conditionalFormatting sqref="N65:N73">
    <cfRule type="cellIs" dxfId="380" priority="22" operator="lessThanOrEqual">
      <formula>0</formula>
    </cfRule>
    <cfRule type="cellIs" dxfId="379" priority="23" operator="between">
      <formula>1</formula>
      <formula>3</formula>
    </cfRule>
    <cfRule type="expression" dxfId="378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377" priority="4" operator="lessThanOrEqual">
      <formula>0</formula>
    </cfRule>
    <cfRule type="cellIs" dxfId="376" priority="5" operator="between">
      <formula>1</formula>
      <formula>3</formula>
    </cfRule>
    <cfRule type="expression" dxfId="375" priority="6">
      <formula>AND(N5&gt;3,NOT(ISBLANK(N5)))</formula>
    </cfRule>
  </conditionalFormatting>
  <conditionalFormatting sqref="N15:N23">
    <cfRule type="cellIs" dxfId="374" priority="7" operator="lessThanOrEqual">
      <formula>0</formula>
    </cfRule>
    <cfRule type="cellIs" dxfId="373" priority="8" operator="between">
      <formula>1</formula>
      <formula>3</formula>
    </cfRule>
    <cfRule type="expression" dxfId="372" priority="9">
      <formula>AND(N15&gt;3,NOT(ISBLANK(N15)))</formula>
    </cfRule>
  </conditionalFormatting>
  <conditionalFormatting sqref="N25:N33">
    <cfRule type="cellIs" dxfId="371" priority="10" operator="lessThanOrEqual">
      <formula>0</formula>
    </cfRule>
    <cfRule type="cellIs" dxfId="370" priority="11" operator="between">
      <formula>1</formula>
      <formula>3</formula>
    </cfRule>
    <cfRule type="expression" dxfId="369" priority="12">
      <formula>AND(N25&gt;3,NOT(ISBLANK(N25)))</formula>
    </cfRule>
  </conditionalFormatting>
  <conditionalFormatting sqref="N35:N43">
    <cfRule type="cellIs" dxfId="368" priority="13" operator="lessThanOrEqual">
      <formula>0</formula>
    </cfRule>
    <cfRule type="cellIs" dxfId="367" priority="14" operator="between">
      <formula>1</formula>
      <formula>3</formula>
    </cfRule>
    <cfRule type="expression" dxfId="366" priority="15">
      <formula>AND(N35&gt;3,NOT(ISBLANK(N35)))</formula>
    </cfRule>
  </conditionalFormatting>
  <conditionalFormatting sqref="N45:N53">
    <cfRule type="cellIs" dxfId="365" priority="16" operator="lessThanOrEqual">
      <formula>0</formula>
    </cfRule>
    <cfRule type="cellIs" dxfId="364" priority="17" operator="between">
      <formula>1</formula>
      <formula>3</formula>
    </cfRule>
    <cfRule type="expression" dxfId="363" priority="18">
      <formula>AND(N45&gt;3,NOT(ISBLANK(N45)))</formula>
    </cfRule>
  </conditionalFormatting>
  <conditionalFormatting sqref="N55:N63">
    <cfRule type="cellIs" dxfId="362" priority="19" operator="lessThanOrEqual">
      <formula>0</formula>
    </cfRule>
    <cfRule type="cellIs" dxfId="361" priority="20" operator="between">
      <formula>1</formula>
      <formula>3</formula>
    </cfRule>
    <cfRule type="expression" dxfId="360" priority="21">
      <formula>AND(N55&gt;3,NOT(ISBLANK(N55)))</formula>
    </cfRule>
  </conditionalFormatting>
  <conditionalFormatting sqref="N65:N73">
    <cfRule type="cellIs" dxfId="359" priority="22" operator="lessThanOrEqual">
      <formula>0</formula>
    </cfRule>
    <cfRule type="cellIs" dxfId="358" priority="23" operator="between">
      <formula>1</formula>
      <formula>3</formula>
    </cfRule>
    <cfRule type="expression" dxfId="357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356" priority="4" operator="lessThanOrEqual">
      <formula>0</formula>
    </cfRule>
    <cfRule type="cellIs" dxfId="355" priority="5" operator="between">
      <formula>1</formula>
      <formula>3</formula>
    </cfRule>
    <cfRule type="expression" dxfId="354" priority="6">
      <formula>AND(N5&gt;3,NOT(ISBLANK(N5)))</formula>
    </cfRule>
  </conditionalFormatting>
  <conditionalFormatting sqref="N15:N23">
    <cfRule type="cellIs" dxfId="353" priority="7" operator="lessThanOrEqual">
      <formula>0</formula>
    </cfRule>
    <cfRule type="cellIs" dxfId="352" priority="8" operator="between">
      <formula>1</formula>
      <formula>3</formula>
    </cfRule>
    <cfRule type="expression" dxfId="351" priority="9">
      <formula>AND(N15&gt;3,NOT(ISBLANK(N15)))</formula>
    </cfRule>
  </conditionalFormatting>
  <conditionalFormatting sqref="N25:N33">
    <cfRule type="cellIs" dxfId="350" priority="10" operator="lessThanOrEqual">
      <formula>0</formula>
    </cfRule>
    <cfRule type="cellIs" dxfId="349" priority="11" operator="between">
      <formula>1</formula>
      <formula>3</formula>
    </cfRule>
    <cfRule type="expression" dxfId="348" priority="12">
      <formula>AND(N25&gt;3,NOT(ISBLANK(N25)))</formula>
    </cfRule>
  </conditionalFormatting>
  <conditionalFormatting sqref="N35:N43">
    <cfRule type="cellIs" dxfId="347" priority="13" operator="lessThanOrEqual">
      <formula>0</formula>
    </cfRule>
    <cfRule type="cellIs" dxfId="346" priority="14" operator="between">
      <formula>1</formula>
      <formula>3</formula>
    </cfRule>
    <cfRule type="expression" dxfId="345" priority="15">
      <formula>AND(N35&gt;3,NOT(ISBLANK(N35)))</formula>
    </cfRule>
  </conditionalFormatting>
  <conditionalFormatting sqref="N45:N53">
    <cfRule type="cellIs" dxfId="344" priority="16" operator="lessThanOrEqual">
      <formula>0</formula>
    </cfRule>
    <cfRule type="cellIs" dxfId="343" priority="17" operator="between">
      <formula>1</formula>
      <formula>3</formula>
    </cfRule>
    <cfRule type="expression" dxfId="342" priority="18">
      <formula>AND(N45&gt;3,NOT(ISBLANK(N45)))</formula>
    </cfRule>
  </conditionalFormatting>
  <conditionalFormatting sqref="N55:N63">
    <cfRule type="cellIs" dxfId="341" priority="19" operator="lessThanOrEqual">
      <formula>0</formula>
    </cfRule>
    <cfRule type="cellIs" dxfId="340" priority="20" operator="between">
      <formula>1</formula>
      <formula>3</formula>
    </cfRule>
    <cfRule type="expression" dxfId="339" priority="21">
      <formula>AND(N55&gt;3,NOT(ISBLANK(N55)))</formula>
    </cfRule>
  </conditionalFormatting>
  <conditionalFormatting sqref="N65:N73">
    <cfRule type="cellIs" dxfId="338" priority="22" operator="lessThanOrEqual">
      <formula>0</formula>
    </cfRule>
    <cfRule type="cellIs" dxfId="337" priority="23" operator="between">
      <formula>1</formula>
      <formula>3</formula>
    </cfRule>
    <cfRule type="expression" dxfId="336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335" priority="4" operator="lessThanOrEqual">
      <formula>0</formula>
    </cfRule>
    <cfRule type="cellIs" dxfId="334" priority="5" operator="between">
      <formula>1</formula>
      <formula>3</formula>
    </cfRule>
    <cfRule type="expression" dxfId="333" priority="6">
      <formula>AND(N5&gt;3,NOT(ISBLANK(N5)))</formula>
    </cfRule>
  </conditionalFormatting>
  <conditionalFormatting sqref="N15:N23">
    <cfRule type="cellIs" dxfId="332" priority="7" operator="lessThanOrEqual">
      <formula>0</formula>
    </cfRule>
    <cfRule type="cellIs" dxfId="331" priority="8" operator="between">
      <formula>1</formula>
      <formula>3</formula>
    </cfRule>
    <cfRule type="expression" dxfId="330" priority="9">
      <formula>AND(N15&gt;3,NOT(ISBLANK(N15)))</formula>
    </cfRule>
  </conditionalFormatting>
  <conditionalFormatting sqref="N25:N33">
    <cfRule type="cellIs" dxfId="329" priority="10" operator="lessThanOrEqual">
      <formula>0</formula>
    </cfRule>
    <cfRule type="cellIs" dxfId="328" priority="11" operator="between">
      <formula>1</formula>
      <formula>3</formula>
    </cfRule>
    <cfRule type="expression" dxfId="327" priority="12">
      <formula>AND(N25&gt;3,NOT(ISBLANK(N25)))</formula>
    </cfRule>
  </conditionalFormatting>
  <conditionalFormatting sqref="N35:N43">
    <cfRule type="cellIs" dxfId="326" priority="13" operator="lessThanOrEqual">
      <formula>0</formula>
    </cfRule>
    <cfRule type="cellIs" dxfId="325" priority="14" operator="between">
      <formula>1</formula>
      <formula>3</formula>
    </cfRule>
    <cfRule type="expression" dxfId="324" priority="15">
      <formula>AND(N35&gt;3,NOT(ISBLANK(N35)))</formula>
    </cfRule>
  </conditionalFormatting>
  <conditionalFormatting sqref="N45:N53">
    <cfRule type="cellIs" dxfId="323" priority="16" operator="lessThanOrEqual">
      <formula>0</formula>
    </cfRule>
    <cfRule type="cellIs" dxfId="322" priority="17" operator="between">
      <formula>1</formula>
      <formula>3</formula>
    </cfRule>
    <cfRule type="expression" dxfId="321" priority="18">
      <formula>AND(N45&gt;3,NOT(ISBLANK(N45)))</formula>
    </cfRule>
  </conditionalFormatting>
  <conditionalFormatting sqref="N55:N63">
    <cfRule type="cellIs" dxfId="320" priority="19" operator="lessThanOrEqual">
      <formula>0</formula>
    </cfRule>
    <cfRule type="cellIs" dxfId="319" priority="20" operator="between">
      <formula>1</formula>
      <formula>3</formula>
    </cfRule>
    <cfRule type="expression" dxfId="318" priority="21">
      <formula>AND(N55&gt;3,NOT(ISBLANK(N55)))</formula>
    </cfRule>
  </conditionalFormatting>
  <conditionalFormatting sqref="N65:N73">
    <cfRule type="cellIs" dxfId="317" priority="22" operator="lessThanOrEqual">
      <formula>0</formula>
    </cfRule>
    <cfRule type="cellIs" dxfId="316" priority="23" operator="between">
      <formula>1</formula>
      <formula>3</formula>
    </cfRule>
    <cfRule type="expression" dxfId="315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314" priority="4" operator="lessThanOrEqual">
      <formula>0</formula>
    </cfRule>
    <cfRule type="cellIs" dxfId="313" priority="5" operator="between">
      <formula>1</formula>
      <formula>3</formula>
    </cfRule>
    <cfRule type="expression" dxfId="312" priority="6">
      <formula>AND(N5&gt;3,NOT(ISBLANK(N5)))</formula>
    </cfRule>
  </conditionalFormatting>
  <conditionalFormatting sqref="N15:N23">
    <cfRule type="cellIs" dxfId="311" priority="7" operator="lessThanOrEqual">
      <formula>0</formula>
    </cfRule>
    <cfRule type="cellIs" dxfId="310" priority="8" operator="between">
      <formula>1</formula>
      <formula>3</formula>
    </cfRule>
    <cfRule type="expression" dxfId="309" priority="9">
      <formula>AND(N15&gt;3,NOT(ISBLANK(N15)))</formula>
    </cfRule>
  </conditionalFormatting>
  <conditionalFormatting sqref="N25:N33">
    <cfRule type="cellIs" dxfId="308" priority="10" operator="lessThanOrEqual">
      <formula>0</formula>
    </cfRule>
    <cfRule type="cellIs" dxfId="307" priority="11" operator="between">
      <formula>1</formula>
      <formula>3</formula>
    </cfRule>
    <cfRule type="expression" dxfId="306" priority="12">
      <formula>AND(N25&gt;3,NOT(ISBLANK(N25)))</formula>
    </cfRule>
  </conditionalFormatting>
  <conditionalFormatting sqref="N35:N43">
    <cfRule type="cellIs" dxfId="305" priority="13" operator="lessThanOrEqual">
      <formula>0</formula>
    </cfRule>
    <cfRule type="cellIs" dxfId="304" priority="14" operator="between">
      <formula>1</formula>
      <formula>3</formula>
    </cfRule>
    <cfRule type="expression" dxfId="303" priority="15">
      <formula>AND(N35&gt;3,NOT(ISBLANK(N35)))</formula>
    </cfRule>
  </conditionalFormatting>
  <conditionalFormatting sqref="N45:N53">
    <cfRule type="cellIs" dxfId="302" priority="16" operator="lessThanOrEqual">
      <formula>0</formula>
    </cfRule>
    <cfRule type="cellIs" dxfId="301" priority="17" operator="between">
      <formula>1</formula>
      <formula>3</formula>
    </cfRule>
    <cfRule type="expression" dxfId="300" priority="18">
      <formula>AND(N45&gt;3,NOT(ISBLANK(N45)))</formula>
    </cfRule>
  </conditionalFormatting>
  <conditionalFormatting sqref="N55:N63">
    <cfRule type="cellIs" dxfId="299" priority="19" operator="lessThanOrEqual">
      <formula>0</formula>
    </cfRule>
    <cfRule type="cellIs" dxfId="298" priority="20" operator="between">
      <formula>1</formula>
      <formula>3</formula>
    </cfRule>
    <cfRule type="expression" dxfId="297" priority="21">
      <formula>AND(N55&gt;3,NOT(ISBLANK(N55)))</formula>
    </cfRule>
  </conditionalFormatting>
  <conditionalFormatting sqref="N65:N73">
    <cfRule type="cellIs" dxfId="296" priority="22" operator="lessThanOrEqual">
      <formula>0</formula>
    </cfRule>
    <cfRule type="cellIs" dxfId="295" priority="23" operator="between">
      <formula>1</formula>
      <formula>3</formula>
    </cfRule>
    <cfRule type="expression" dxfId="294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293" priority="4" operator="lessThanOrEqual">
      <formula>0</formula>
    </cfRule>
    <cfRule type="cellIs" dxfId="292" priority="5" operator="between">
      <formula>1</formula>
      <formula>3</formula>
    </cfRule>
    <cfRule type="expression" dxfId="291" priority="6">
      <formula>AND(N5&gt;3,NOT(ISBLANK(N5)))</formula>
    </cfRule>
  </conditionalFormatting>
  <conditionalFormatting sqref="N15:N23">
    <cfRule type="cellIs" dxfId="290" priority="7" operator="lessThanOrEqual">
      <formula>0</formula>
    </cfRule>
    <cfRule type="cellIs" dxfId="289" priority="8" operator="between">
      <formula>1</formula>
      <formula>3</formula>
    </cfRule>
    <cfRule type="expression" dxfId="288" priority="9">
      <formula>AND(N15&gt;3,NOT(ISBLANK(N15)))</formula>
    </cfRule>
  </conditionalFormatting>
  <conditionalFormatting sqref="N25:N33">
    <cfRule type="cellIs" dxfId="287" priority="10" operator="lessThanOrEqual">
      <formula>0</formula>
    </cfRule>
    <cfRule type="cellIs" dxfId="286" priority="11" operator="between">
      <formula>1</formula>
      <formula>3</formula>
    </cfRule>
    <cfRule type="expression" dxfId="285" priority="12">
      <formula>AND(N25&gt;3,NOT(ISBLANK(N25)))</formula>
    </cfRule>
  </conditionalFormatting>
  <conditionalFormatting sqref="N35:N43">
    <cfRule type="cellIs" dxfId="284" priority="13" operator="lessThanOrEqual">
      <formula>0</formula>
    </cfRule>
    <cfRule type="cellIs" dxfId="283" priority="14" operator="between">
      <formula>1</formula>
      <formula>3</formula>
    </cfRule>
    <cfRule type="expression" dxfId="282" priority="15">
      <formula>AND(N35&gt;3,NOT(ISBLANK(N35)))</formula>
    </cfRule>
  </conditionalFormatting>
  <conditionalFormatting sqref="N45:N53">
    <cfRule type="cellIs" dxfId="281" priority="16" operator="lessThanOrEqual">
      <formula>0</formula>
    </cfRule>
    <cfRule type="cellIs" dxfId="280" priority="17" operator="between">
      <formula>1</formula>
      <formula>3</formula>
    </cfRule>
    <cfRule type="expression" dxfId="279" priority="18">
      <formula>AND(N45&gt;3,NOT(ISBLANK(N45)))</formula>
    </cfRule>
  </conditionalFormatting>
  <conditionalFormatting sqref="N55:N63">
    <cfRule type="cellIs" dxfId="278" priority="19" operator="lessThanOrEqual">
      <formula>0</formula>
    </cfRule>
    <cfRule type="cellIs" dxfId="277" priority="20" operator="between">
      <formula>1</formula>
      <formula>3</formula>
    </cfRule>
    <cfRule type="expression" dxfId="276" priority="21">
      <formula>AND(N55&gt;3,NOT(ISBLANK(N55)))</formula>
    </cfRule>
  </conditionalFormatting>
  <conditionalFormatting sqref="N65:N73">
    <cfRule type="cellIs" dxfId="275" priority="22" operator="lessThanOrEqual">
      <formula>0</formula>
    </cfRule>
    <cfRule type="cellIs" dxfId="274" priority="23" operator="between">
      <formula>1</formula>
      <formula>3</formula>
    </cfRule>
    <cfRule type="expression" dxfId="273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272" priority="4" operator="lessThanOrEqual">
      <formula>0</formula>
    </cfRule>
    <cfRule type="cellIs" dxfId="271" priority="5" operator="between">
      <formula>1</formula>
      <formula>3</formula>
    </cfRule>
    <cfRule type="expression" dxfId="270" priority="6">
      <formula>AND(N5&gt;3,NOT(ISBLANK(N5)))</formula>
    </cfRule>
  </conditionalFormatting>
  <conditionalFormatting sqref="N15:N23">
    <cfRule type="cellIs" dxfId="269" priority="7" operator="lessThanOrEqual">
      <formula>0</formula>
    </cfRule>
    <cfRule type="cellIs" dxfId="268" priority="8" operator="between">
      <formula>1</formula>
      <formula>3</formula>
    </cfRule>
    <cfRule type="expression" dxfId="267" priority="9">
      <formula>AND(N15&gt;3,NOT(ISBLANK(N15)))</formula>
    </cfRule>
  </conditionalFormatting>
  <conditionalFormatting sqref="N25:N33">
    <cfRule type="cellIs" dxfId="266" priority="10" operator="lessThanOrEqual">
      <formula>0</formula>
    </cfRule>
    <cfRule type="cellIs" dxfId="265" priority="11" operator="between">
      <formula>1</formula>
      <formula>3</formula>
    </cfRule>
    <cfRule type="expression" dxfId="264" priority="12">
      <formula>AND(N25&gt;3,NOT(ISBLANK(N25)))</formula>
    </cfRule>
  </conditionalFormatting>
  <conditionalFormatting sqref="N35:N43">
    <cfRule type="cellIs" dxfId="263" priority="13" operator="lessThanOrEqual">
      <formula>0</formula>
    </cfRule>
    <cfRule type="cellIs" dxfId="262" priority="14" operator="between">
      <formula>1</formula>
      <formula>3</formula>
    </cfRule>
    <cfRule type="expression" dxfId="261" priority="15">
      <formula>AND(N35&gt;3,NOT(ISBLANK(N35)))</formula>
    </cfRule>
  </conditionalFormatting>
  <conditionalFormatting sqref="N45:N53">
    <cfRule type="cellIs" dxfId="260" priority="16" operator="lessThanOrEqual">
      <formula>0</formula>
    </cfRule>
    <cfRule type="cellIs" dxfId="259" priority="17" operator="between">
      <formula>1</formula>
      <formula>3</formula>
    </cfRule>
    <cfRule type="expression" dxfId="258" priority="18">
      <formula>AND(N45&gt;3,NOT(ISBLANK(N45)))</formula>
    </cfRule>
  </conditionalFormatting>
  <conditionalFormatting sqref="N55:N63">
    <cfRule type="cellIs" dxfId="257" priority="19" operator="lessThanOrEqual">
      <formula>0</formula>
    </cfRule>
    <cfRule type="cellIs" dxfId="256" priority="20" operator="between">
      <formula>1</formula>
      <formula>3</formula>
    </cfRule>
    <cfRule type="expression" dxfId="255" priority="21">
      <formula>AND(N55&gt;3,NOT(ISBLANK(N55)))</formula>
    </cfRule>
  </conditionalFormatting>
  <conditionalFormatting sqref="N65:N73">
    <cfRule type="cellIs" dxfId="254" priority="22" operator="lessThanOrEqual">
      <formula>0</formula>
    </cfRule>
    <cfRule type="cellIs" dxfId="253" priority="23" operator="between">
      <formula>1</formula>
      <formula>3</formula>
    </cfRule>
    <cfRule type="expression" dxfId="252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251" priority="4" operator="lessThanOrEqual">
      <formula>0</formula>
    </cfRule>
    <cfRule type="cellIs" dxfId="250" priority="5" operator="between">
      <formula>1</formula>
      <formula>3</formula>
    </cfRule>
    <cfRule type="expression" dxfId="249" priority="6">
      <formula>AND(N5&gt;3,NOT(ISBLANK(N5)))</formula>
    </cfRule>
  </conditionalFormatting>
  <conditionalFormatting sqref="N15:N23">
    <cfRule type="cellIs" dxfId="248" priority="7" operator="lessThanOrEqual">
      <formula>0</formula>
    </cfRule>
    <cfRule type="cellIs" dxfId="247" priority="8" operator="between">
      <formula>1</formula>
      <formula>3</formula>
    </cfRule>
    <cfRule type="expression" dxfId="246" priority="9">
      <formula>AND(N15&gt;3,NOT(ISBLANK(N15)))</formula>
    </cfRule>
  </conditionalFormatting>
  <conditionalFormatting sqref="N25:N33">
    <cfRule type="cellIs" dxfId="245" priority="10" operator="lessThanOrEqual">
      <formula>0</formula>
    </cfRule>
    <cfRule type="cellIs" dxfId="244" priority="11" operator="between">
      <formula>1</formula>
      <formula>3</formula>
    </cfRule>
    <cfRule type="expression" dxfId="243" priority="12">
      <formula>AND(N25&gt;3,NOT(ISBLANK(N25)))</formula>
    </cfRule>
  </conditionalFormatting>
  <conditionalFormatting sqref="N35:N43">
    <cfRule type="cellIs" dxfId="242" priority="13" operator="lessThanOrEqual">
      <formula>0</formula>
    </cfRule>
    <cfRule type="cellIs" dxfId="241" priority="14" operator="between">
      <formula>1</formula>
      <formula>3</formula>
    </cfRule>
    <cfRule type="expression" dxfId="240" priority="15">
      <formula>AND(N35&gt;3,NOT(ISBLANK(N35)))</formula>
    </cfRule>
  </conditionalFormatting>
  <conditionalFormatting sqref="N45:N53">
    <cfRule type="cellIs" dxfId="239" priority="16" operator="lessThanOrEqual">
      <formula>0</formula>
    </cfRule>
    <cfRule type="cellIs" dxfId="238" priority="17" operator="between">
      <formula>1</formula>
      <formula>3</formula>
    </cfRule>
    <cfRule type="expression" dxfId="237" priority="18">
      <formula>AND(N45&gt;3,NOT(ISBLANK(N45)))</formula>
    </cfRule>
  </conditionalFormatting>
  <conditionalFormatting sqref="N55:N63">
    <cfRule type="cellIs" dxfId="236" priority="19" operator="lessThanOrEqual">
      <formula>0</formula>
    </cfRule>
    <cfRule type="cellIs" dxfId="235" priority="20" operator="between">
      <formula>1</formula>
      <formula>3</formula>
    </cfRule>
    <cfRule type="expression" dxfId="234" priority="21">
      <formula>AND(N55&gt;3,NOT(ISBLANK(N55)))</formula>
    </cfRule>
  </conditionalFormatting>
  <conditionalFormatting sqref="N65:N73">
    <cfRule type="cellIs" dxfId="233" priority="22" operator="lessThanOrEqual">
      <formula>0</formula>
    </cfRule>
    <cfRule type="cellIs" dxfId="232" priority="23" operator="between">
      <formula>1</formula>
      <formula>3</formula>
    </cfRule>
    <cfRule type="expression" dxfId="231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230" priority="4" operator="lessThanOrEqual">
      <formula>0</formula>
    </cfRule>
    <cfRule type="cellIs" dxfId="229" priority="5" operator="between">
      <formula>1</formula>
      <formula>3</formula>
    </cfRule>
    <cfRule type="expression" dxfId="228" priority="6">
      <formula>AND(N5&gt;3,NOT(ISBLANK(N5)))</formula>
    </cfRule>
  </conditionalFormatting>
  <conditionalFormatting sqref="N15:N23">
    <cfRule type="cellIs" dxfId="227" priority="7" operator="lessThanOrEqual">
      <formula>0</formula>
    </cfRule>
    <cfRule type="cellIs" dxfId="226" priority="8" operator="between">
      <formula>1</formula>
      <formula>3</formula>
    </cfRule>
    <cfRule type="expression" dxfId="225" priority="9">
      <formula>AND(N15&gt;3,NOT(ISBLANK(N15)))</formula>
    </cfRule>
  </conditionalFormatting>
  <conditionalFormatting sqref="N25:N33">
    <cfRule type="cellIs" dxfId="224" priority="10" operator="lessThanOrEqual">
      <formula>0</formula>
    </cfRule>
    <cfRule type="cellIs" dxfId="223" priority="11" operator="between">
      <formula>1</formula>
      <formula>3</formula>
    </cfRule>
    <cfRule type="expression" dxfId="222" priority="12">
      <formula>AND(N25&gt;3,NOT(ISBLANK(N25)))</formula>
    </cfRule>
  </conditionalFormatting>
  <conditionalFormatting sqref="N35:N43">
    <cfRule type="cellIs" dxfId="221" priority="13" operator="lessThanOrEqual">
      <formula>0</formula>
    </cfRule>
    <cfRule type="cellIs" dxfId="220" priority="14" operator="between">
      <formula>1</formula>
      <formula>3</formula>
    </cfRule>
    <cfRule type="expression" dxfId="219" priority="15">
      <formula>AND(N35&gt;3,NOT(ISBLANK(N35)))</formula>
    </cfRule>
  </conditionalFormatting>
  <conditionalFormatting sqref="N45:N53">
    <cfRule type="cellIs" dxfId="218" priority="16" operator="lessThanOrEqual">
      <formula>0</formula>
    </cfRule>
    <cfRule type="cellIs" dxfId="217" priority="17" operator="between">
      <formula>1</formula>
      <formula>3</formula>
    </cfRule>
    <cfRule type="expression" dxfId="216" priority="18">
      <formula>AND(N45&gt;3,NOT(ISBLANK(N45)))</formula>
    </cfRule>
  </conditionalFormatting>
  <conditionalFormatting sqref="N55:N63">
    <cfRule type="cellIs" dxfId="215" priority="19" operator="lessThanOrEqual">
      <formula>0</formula>
    </cfRule>
    <cfRule type="cellIs" dxfId="214" priority="20" operator="between">
      <formula>1</formula>
      <formula>3</formula>
    </cfRule>
    <cfRule type="expression" dxfId="213" priority="21">
      <formula>AND(N55&gt;3,NOT(ISBLANK(N55)))</formula>
    </cfRule>
  </conditionalFormatting>
  <conditionalFormatting sqref="N65:N73">
    <cfRule type="cellIs" dxfId="212" priority="22" operator="lessThanOrEqual">
      <formula>0</formula>
    </cfRule>
    <cfRule type="cellIs" dxfId="211" priority="23" operator="between">
      <formula>1</formula>
      <formula>3</formula>
    </cfRule>
    <cfRule type="expression" dxfId="210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209" priority="4" operator="lessThanOrEqual">
      <formula>0</formula>
    </cfRule>
    <cfRule type="cellIs" dxfId="208" priority="5" operator="between">
      <formula>1</formula>
      <formula>3</formula>
    </cfRule>
    <cfRule type="expression" dxfId="207" priority="6">
      <formula>AND(N5&gt;3,NOT(ISBLANK(N5)))</formula>
    </cfRule>
  </conditionalFormatting>
  <conditionalFormatting sqref="N15:N23">
    <cfRule type="cellIs" dxfId="206" priority="7" operator="lessThanOrEqual">
      <formula>0</formula>
    </cfRule>
    <cfRule type="cellIs" dxfId="205" priority="8" operator="between">
      <formula>1</formula>
      <formula>3</formula>
    </cfRule>
    <cfRule type="expression" dxfId="204" priority="9">
      <formula>AND(N15&gt;3,NOT(ISBLANK(N15)))</formula>
    </cfRule>
  </conditionalFormatting>
  <conditionalFormatting sqref="N25:N33">
    <cfRule type="cellIs" dxfId="203" priority="10" operator="lessThanOrEqual">
      <formula>0</formula>
    </cfRule>
    <cfRule type="cellIs" dxfId="202" priority="11" operator="between">
      <formula>1</formula>
      <formula>3</formula>
    </cfRule>
    <cfRule type="expression" dxfId="201" priority="12">
      <formula>AND(N25&gt;3,NOT(ISBLANK(N25)))</formula>
    </cfRule>
  </conditionalFormatting>
  <conditionalFormatting sqref="N35:N43">
    <cfRule type="cellIs" dxfId="200" priority="13" operator="lessThanOrEqual">
      <formula>0</formula>
    </cfRule>
    <cfRule type="cellIs" dxfId="199" priority="14" operator="between">
      <formula>1</formula>
      <formula>3</formula>
    </cfRule>
    <cfRule type="expression" dxfId="198" priority="15">
      <formula>AND(N35&gt;3,NOT(ISBLANK(N35)))</formula>
    </cfRule>
  </conditionalFormatting>
  <conditionalFormatting sqref="N45:N53">
    <cfRule type="cellIs" dxfId="197" priority="16" operator="lessThanOrEqual">
      <formula>0</formula>
    </cfRule>
    <cfRule type="cellIs" dxfId="196" priority="17" operator="between">
      <formula>1</formula>
      <formula>3</formula>
    </cfRule>
    <cfRule type="expression" dxfId="195" priority="18">
      <formula>AND(N45&gt;3,NOT(ISBLANK(N45)))</formula>
    </cfRule>
  </conditionalFormatting>
  <conditionalFormatting sqref="N55:N63">
    <cfRule type="cellIs" dxfId="194" priority="19" operator="lessThanOrEqual">
      <formula>0</formula>
    </cfRule>
    <cfRule type="cellIs" dxfId="193" priority="20" operator="between">
      <formula>1</formula>
      <formula>3</formula>
    </cfRule>
    <cfRule type="expression" dxfId="192" priority="21">
      <formula>AND(N55&gt;3,NOT(ISBLANK(N55)))</formula>
    </cfRule>
  </conditionalFormatting>
  <conditionalFormatting sqref="N65:N73">
    <cfRule type="cellIs" dxfId="191" priority="22" operator="lessThanOrEqual">
      <formula>0</formula>
    </cfRule>
    <cfRule type="cellIs" dxfId="190" priority="23" operator="between">
      <formula>1</formula>
      <formula>3</formula>
    </cfRule>
    <cfRule type="expression" dxfId="189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88" priority="4" operator="lessThanOrEqual">
      <formula>0</formula>
    </cfRule>
    <cfRule type="cellIs" dxfId="187" priority="5" operator="between">
      <formula>1</formula>
      <formula>3</formula>
    </cfRule>
    <cfRule type="expression" dxfId="186" priority="6">
      <formula>AND(N5&gt;3,NOT(ISBLANK(N5)))</formula>
    </cfRule>
  </conditionalFormatting>
  <conditionalFormatting sqref="N15:N23">
    <cfRule type="cellIs" dxfId="185" priority="7" operator="lessThanOrEqual">
      <formula>0</formula>
    </cfRule>
    <cfRule type="cellIs" dxfId="184" priority="8" operator="between">
      <formula>1</formula>
      <formula>3</formula>
    </cfRule>
    <cfRule type="expression" dxfId="183" priority="9">
      <formula>AND(N15&gt;3,NOT(ISBLANK(N15)))</formula>
    </cfRule>
  </conditionalFormatting>
  <conditionalFormatting sqref="N25:N33">
    <cfRule type="cellIs" dxfId="182" priority="10" operator="lessThanOrEqual">
      <formula>0</formula>
    </cfRule>
    <cfRule type="cellIs" dxfId="181" priority="11" operator="between">
      <formula>1</formula>
      <formula>3</formula>
    </cfRule>
    <cfRule type="expression" dxfId="180" priority="12">
      <formula>AND(N25&gt;3,NOT(ISBLANK(N25)))</formula>
    </cfRule>
  </conditionalFormatting>
  <conditionalFormatting sqref="N35:N43">
    <cfRule type="cellIs" dxfId="179" priority="13" operator="lessThanOrEqual">
      <formula>0</formula>
    </cfRule>
    <cfRule type="cellIs" dxfId="178" priority="14" operator="between">
      <formula>1</formula>
      <formula>3</formula>
    </cfRule>
    <cfRule type="expression" dxfId="177" priority="15">
      <formula>AND(N35&gt;3,NOT(ISBLANK(N35)))</formula>
    </cfRule>
  </conditionalFormatting>
  <conditionalFormatting sqref="N45:N53">
    <cfRule type="cellIs" dxfId="176" priority="16" operator="lessThanOrEqual">
      <formula>0</formula>
    </cfRule>
    <cfRule type="cellIs" dxfId="175" priority="17" operator="between">
      <formula>1</formula>
      <formula>3</formula>
    </cfRule>
    <cfRule type="expression" dxfId="174" priority="18">
      <formula>AND(N45&gt;3,NOT(ISBLANK(N45)))</formula>
    </cfRule>
  </conditionalFormatting>
  <conditionalFormatting sqref="N55:N63">
    <cfRule type="cellIs" dxfId="173" priority="19" operator="lessThanOrEqual">
      <formula>0</formula>
    </cfRule>
    <cfRule type="cellIs" dxfId="172" priority="20" operator="between">
      <formula>1</formula>
      <formula>3</formula>
    </cfRule>
    <cfRule type="expression" dxfId="171" priority="21">
      <formula>AND(N55&gt;3,NOT(ISBLANK(N55)))</formula>
    </cfRule>
  </conditionalFormatting>
  <conditionalFormatting sqref="N65:N73">
    <cfRule type="cellIs" dxfId="170" priority="22" operator="lessThanOrEqual">
      <formula>0</formula>
    </cfRule>
    <cfRule type="cellIs" dxfId="169" priority="23" operator="between">
      <formula>1</formula>
      <formula>3</formula>
    </cfRule>
    <cfRule type="expression" dxfId="168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67" priority="4" operator="lessThanOrEqual">
      <formula>0</formula>
    </cfRule>
    <cfRule type="cellIs" dxfId="166" priority="5" operator="between">
      <formula>1</formula>
      <formula>3</formula>
    </cfRule>
    <cfRule type="expression" dxfId="165" priority="6">
      <formula>AND(N5&gt;3,NOT(ISBLANK(N5)))</formula>
    </cfRule>
  </conditionalFormatting>
  <conditionalFormatting sqref="N15:N23">
    <cfRule type="cellIs" dxfId="164" priority="7" operator="lessThanOrEqual">
      <formula>0</formula>
    </cfRule>
    <cfRule type="cellIs" dxfId="163" priority="8" operator="between">
      <formula>1</formula>
      <formula>3</formula>
    </cfRule>
    <cfRule type="expression" dxfId="162" priority="9">
      <formula>AND(N15&gt;3,NOT(ISBLANK(N15)))</formula>
    </cfRule>
  </conditionalFormatting>
  <conditionalFormatting sqref="N25:N33">
    <cfRule type="cellIs" dxfId="161" priority="10" operator="lessThanOrEqual">
      <formula>0</formula>
    </cfRule>
    <cfRule type="cellIs" dxfId="160" priority="11" operator="between">
      <formula>1</formula>
      <formula>3</formula>
    </cfRule>
    <cfRule type="expression" dxfId="159" priority="12">
      <formula>AND(N25&gt;3,NOT(ISBLANK(N25)))</formula>
    </cfRule>
  </conditionalFormatting>
  <conditionalFormatting sqref="N35:N43">
    <cfRule type="cellIs" dxfId="158" priority="13" operator="lessThanOrEqual">
      <formula>0</formula>
    </cfRule>
    <cfRule type="cellIs" dxfId="157" priority="14" operator="between">
      <formula>1</formula>
      <formula>3</formula>
    </cfRule>
    <cfRule type="expression" dxfId="156" priority="15">
      <formula>AND(N35&gt;3,NOT(ISBLANK(N35)))</formula>
    </cfRule>
  </conditionalFormatting>
  <conditionalFormatting sqref="N45:N53">
    <cfRule type="cellIs" dxfId="155" priority="16" operator="lessThanOrEqual">
      <formula>0</formula>
    </cfRule>
    <cfRule type="cellIs" dxfId="154" priority="17" operator="between">
      <formula>1</formula>
      <formula>3</formula>
    </cfRule>
    <cfRule type="expression" dxfId="153" priority="18">
      <formula>AND(N45&gt;3,NOT(ISBLANK(N45)))</formula>
    </cfRule>
  </conditionalFormatting>
  <conditionalFormatting sqref="N55:N63">
    <cfRule type="cellIs" dxfId="152" priority="19" operator="lessThanOrEqual">
      <formula>0</formula>
    </cfRule>
    <cfRule type="cellIs" dxfId="151" priority="20" operator="between">
      <formula>1</formula>
      <formula>3</formula>
    </cfRule>
    <cfRule type="expression" dxfId="150" priority="21">
      <formula>AND(N55&gt;3,NOT(ISBLANK(N55)))</formula>
    </cfRule>
  </conditionalFormatting>
  <conditionalFormatting sqref="N65:N73">
    <cfRule type="cellIs" dxfId="149" priority="22" operator="lessThanOrEqual">
      <formula>0</formula>
    </cfRule>
    <cfRule type="cellIs" dxfId="148" priority="23" operator="between">
      <formula>1</formula>
      <formula>3</formula>
    </cfRule>
    <cfRule type="expression" dxfId="147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46" priority="4" operator="lessThanOrEqual">
      <formula>0</formula>
    </cfRule>
    <cfRule type="cellIs" dxfId="145" priority="5" operator="between">
      <formula>1</formula>
      <formula>3</formula>
    </cfRule>
    <cfRule type="expression" dxfId="144" priority="6">
      <formula>AND(N5&gt;3,NOT(ISBLANK(N5)))</formula>
    </cfRule>
  </conditionalFormatting>
  <conditionalFormatting sqref="N15:N23">
    <cfRule type="cellIs" dxfId="143" priority="7" operator="lessThanOrEqual">
      <formula>0</formula>
    </cfRule>
    <cfRule type="cellIs" dxfId="142" priority="8" operator="between">
      <formula>1</formula>
      <formula>3</formula>
    </cfRule>
    <cfRule type="expression" dxfId="141" priority="9">
      <formula>AND(N15&gt;3,NOT(ISBLANK(N15)))</formula>
    </cfRule>
  </conditionalFormatting>
  <conditionalFormatting sqref="N25:N33">
    <cfRule type="cellIs" dxfId="140" priority="10" operator="lessThanOrEqual">
      <formula>0</formula>
    </cfRule>
    <cfRule type="cellIs" dxfId="139" priority="11" operator="between">
      <formula>1</formula>
      <formula>3</formula>
    </cfRule>
    <cfRule type="expression" dxfId="138" priority="12">
      <formula>AND(N25&gt;3,NOT(ISBLANK(N25)))</formula>
    </cfRule>
  </conditionalFormatting>
  <conditionalFormatting sqref="N35:N43">
    <cfRule type="cellIs" dxfId="137" priority="13" operator="lessThanOrEqual">
      <formula>0</formula>
    </cfRule>
    <cfRule type="cellIs" dxfId="136" priority="14" operator="between">
      <formula>1</formula>
      <formula>3</formula>
    </cfRule>
    <cfRule type="expression" dxfId="135" priority="15">
      <formula>AND(N35&gt;3,NOT(ISBLANK(N35)))</formula>
    </cfRule>
  </conditionalFormatting>
  <conditionalFormatting sqref="N45:N53">
    <cfRule type="cellIs" dxfId="134" priority="16" operator="lessThanOrEqual">
      <formula>0</formula>
    </cfRule>
    <cfRule type="cellIs" dxfId="133" priority="17" operator="between">
      <formula>1</formula>
      <formula>3</formula>
    </cfRule>
    <cfRule type="expression" dxfId="132" priority="18">
      <formula>AND(N45&gt;3,NOT(ISBLANK(N45)))</formula>
    </cfRule>
  </conditionalFormatting>
  <conditionalFormatting sqref="N55:N63">
    <cfRule type="cellIs" dxfId="131" priority="19" operator="lessThanOrEqual">
      <formula>0</formula>
    </cfRule>
    <cfRule type="cellIs" dxfId="130" priority="20" operator="between">
      <formula>1</formula>
      <formula>3</formula>
    </cfRule>
    <cfRule type="expression" dxfId="129" priority="21">
      <formula>AND(N55&gt;3,NOT(ISBLANK(N55)))</formula>
    </cfRule>
  </conditionalFormatting>
  <conditionalFormatting sqref="N65:N73">
    <cfRule type="cellIs" dxfId="128" priority="22" operator="lessThanOrEqual">
      <formula>0</formula>
    </cfRule>
    <cfRule type="cellIs" dxfId="127" priority="23" operator="between">
      <formula>1</formula>
      <formula>3</formula>
    </cfRule>
    <cfRule type="expression" dxfId="126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25" priority="4" operator="lessThanOrEqual">
      <formula>0</formula>
    </cfRule>
    <cfRule type="cellIs" dxfId="124" priority="5" operator="between">
      <formula>1</formula>
      <formula>3</formula>
    </cfRule>
    <cfRule type="expression" dxfId="123" priority="6">
      <formula>AND(N5&gt;3,NOT(ISBLANK(N5)))</formula>
    </cfRule>
  </conditionalFormatting>
  <conditionalFormatting sqref="N15:N23">
    <cfRule type="cellIs" dxfId="122" priority="7" operator="lessThanOrEqual">
      <formula>0</formula>
    </cfRule>
    <cfRule type="cellIs" dxfId="121" priority="8" operator="between">
      <formula>1</formula>
      <formula>3</formula>
    </cfRule>
    <cfRule type="expression" dxfId="120" priority="9">
      <formula>AND(N15&gt;3,NOT(ISBLANK(N15)))</formula>
    </cfRule>
  </conditionalFormatting>
  <conditionalFormatting sqref="N25:N33">
    <cfRule type="cellIs" dxfId="119" priority="10" operator="lessThanOrEqual">
      <formula>0</formula>
    </cfRule>
    <cfRule type="cellIs" dxfId="118" priority="11" operator="between">
      <formula>1</formula>
      <formula>3</formula>
    </cfRule>
    <cfRule type="expression" dxfId="117" priority="12">
      <formula>AND(N25&gt;3,NOT(ISBLANK(N25)))</formula>
    </cfRule>
  </conditionalFormatting>
  <conditionalFormatting sqref="N35:N43">
    <cfRule type="cellIs" dxfId="116" priority="13" operator="lessThanOrEqual">
      <formula>0</formula>
    </cfRule>
    <cfRule type="cellIs" dxfId="115" priority="14" operator="between">
      <formula>1</formula>
      <formula>3</formula>
    </cfRule>
    <cfRule type="expression" dxfId="114" priority="15">
      <formula>AND(N35&gt;3,NOT(ISBLANK(N35)))</formula>
    </cfRule>
  </conditionalFormatting>
  <conditionalFormatting sqref="N45:N53">
    <cfRule type="cellIs" dxfId="113" priority="16" operator="lessThanOrEqual">
      <formula>0</formula>
    </cfRule>
    <cfRule type="cellIs" dxfId="112" priority="17" operator="between">
      <formula>1</formula>
      <formula>3</formula>
    </cfRule>
    <cfRule type="expression" dxfId="111" priority="18">
      <formula>AND(N45&gt;3,NOT(ISBLANK(N45)))</formula>
    </cfRule>
  </conditionalFormatting>
  <conditionalFormatting sqref="N55:N63">
    <cfRule type="cellIs" dxfId="110" priority="19" operator="lessThanOrEqual">
      <formula>0</formula>
    </cfRule>
    <cfRule type="cellIs" dxfId="109" priority="20" operator="between">
      <formula>1</formula>
      <formula>3</formula>
    </cfRule>
    <cfRule type="expression" dxfId="108" priority="21">
      <formula>AND(N55&gt;3,NOT(ISBLANK(N55)))</formula>
    </cfRule>
  </conditionalFormatting>
  <conditionalFormatting sqref="N65:N73">
    <cfRule type="cellIs" dxfId="107" priority="22" operator="lessThanOrEqual">
      <formula>0</formula>
    </cfRule>
    <cfRule type="cellIs" dxfId="106" priority="23" operator="between">
      <formula>1</formula>
      <formula>3</formula>
    </cfRule>
    <cfRule type="expression" dxfId="105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104" priority="4" operator="lessThanOrEqual">
      <formula>0</formula>
    </cfRule>
    <cfRule type="cellIs" dxfId="103" priority="5" operator="between">
      <formula>1</formula>
      <formula>3</formula>
    </cfRule>
    <cfRule type="expression" dxfId="102" priority="6">
      <formula>AND(N5&gt;3,NOT(ISBLANK(N5)))</formula>
    </cfRule>
  </conditionalFormatting>
  <conditionalFormatting sqref="N15:N23">
    <cfRule type="cellIs" dxfId="101" priority="7" operator="lessThanOrEqual">
      <formula>0</formula>
    </cfRule>
    <cfRule type="cellIs" dxfId="100" priority="8" operator="between">
      <formula>1</formula>
      <formula>3</formula>
    </cfRule>
    <cfRule type="expression" dxfId="99" priority="9">
      <formula>AND(N15&gt;3,NOT(ISBLANK(N15)))</formula>
    </cfRule>
  </conditionalFormatting>
  <conditionalFormatting sqref="N25:N33">
    <cfRule type="cellIs" dxfId="98" priority="10" operator="lessThanOrEqual">
      <formula>0</formula>
    </cfRule>
    <cfRule type="cellIs" dxfId="97" priority="11" operator="between">
      <formula>1</formula>
      <formula>3</formula>
    </cfRule>
    <cfRule type="expression" dxfId="96" priority="12">
      <formula>AND(N25&gt;3,NOT(ISBLANK(N25)))</formula>
    </cfRule>
  </conditionalFormatting>
  <conditionalFormatting sqref="N35:N43">
    <cfRule type="cellIs" dxfId="95" priority="13" operator="lessThanOrEqual">
      <formula>0</formula>
    </cfRule>
    <cfRule type="cellIs" dxfId="94" priority="14" operator="between">
      <formula>1</formula>
      <formula>3</formula>
    </cfRule>
    <cfRule type="expression" dxfId="93" priority="15">
      <formula>AND(N35&gt;3,NOT(ISBLANK(N35)))</formula>
    </cfRule>
  </conditionalFormatting>
  <conditionalFormatting sqref="N45:N53">
    <cfRule type="cellIs" dxfId="92" priority="16" operator="lessThanOrEqual">
      <formula>0</formula>
    </cfRule>
    <cfRule type="cellIs" dxfId="91" priority="17" operator="between">
      <formula>1</formula>
      <formula>3</formula>
    </cfRule>
    <cfRule type="expression" dxfId="90" priority="18">
      <formula>AND(N45&gt;3,NOT(ISBLANK(N45)))</formula>
    </cfRule>
  </conditionalFormatting>
  <conditionalFormatting sqref="N55:N63">
    <cfRule type="cellIs" dxfId="89" priority="19" operator="lessThanOrEqual">
      <formula>0</formula>
    </cfRule>
    <cfRule type="cellIs" dxfId="88" priority="20" operator="between">
      <formula>1</formula>
      <formula>3</formula>
    </cfRule>
    <cfRule type="expression" dxfId="87" priority="21">
      <formula>AND(N55&gt;3,NOT(ISBLANK(N55)))</formula>
    </cfRule>
  </conditionalFormatting>
  <conditionalFormatting sqref="N65:N73">
    <cfRule type="cellIs" dxfId="86" priority="22" operator="lessThanOrEqual">
      <formula>0</formula>
    </cfRule>
    <cfRule type="cellIs" dxfId="85" priority="23" operator="between">
      <formula>1</formula>
      <formula>3</formula>
    </cfRule>
    <cfRule type="expression" dxfId="84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83" priority="4" operator="lessThanOrEqual">
      <formula>0</formula>
    </cfRule>
    <cfRule type="cellIs" dxfId="82" priority="5" operator="between">
      <formula>1</formula>
      <formula>3</formula>
    </cfRule>
    <cfRule type="expression" dxfId="81" priority="6">
      <formula>AND(N5&gt;3,NOT(ISBLANK(N5)))</formula>
    </cfRule>
  </conditionalFormatting>
  <conditionalFormatting sqref="N15:N23">
    <cfRule type="cellIs" dxfId="80" priority="7" operator="lessThanOrEqual">
      <formula>0</formula>
    </cfRule>
    <cfRule type="cellIs" dxfId="79" priority="8" operator="between">
      <formula>1</formula>
      <formula>3</formula>
    </cfRule>
    <cfRule type="expression" dxfId="78" priority="9">
      <formula>AND(N15&gt;3,NOT(ISBLANK(N15)))</formula>
    </cfRule>
  </conditionalFormatting>
  <conditionalFormatting sqref="N25:N33">
    <cfRule type="cellIs" dxfId="77" priority="10" operator="lessThanOrEqual">
      <formula>0</formula>
    </cfRule>
    <cfRule type="cellIs" dxfId="76" priority="11" operator="between">
      <formula>1</formula>
      <formula>3</formula>
    </cfRule>
    <cfRule type="expression" dxfId="75" priority="12">
      <formula>AND(N25&gt;3,NOT(ISBLANK(N25)))</formula>
    </cfRule>
  </conditionalFormatting>
  <conditionalFormatting sqref="N35:N43">
    <cfRule type="cellIs" dxfId="74" priority="13" operator="lessThanOrEqual">
      <formula>0</formula>
    </cfRule>
    <cfRule type="cellIs" dxfId="73" priority="14" operator="between">
      <formula>1</formula>
      <formula>3</formula>
    </cfRule>
    <cfRule type="expression" dxfId="72" priority="15">
      <formula>AND(N35&gt;3,NOT(ISBLANK(N35)))</formula>
    </cfRule>
  </conditionalFormatting>
  <conditionalFormatting sqref="N45:N53">
    <cfRule type="cellIs" dxfId="71" priority="16" operator="lessThanOrEqual">
      <formula>0</formula>
    </cfRule>
    <cfRule type="cellIs" dxfId="70" priority="17" operator="between">
      <formula>1</formula>
      <formula>3</formula>
    </cfRule>
    <cfRule type="expression" dxfId="69" priority="18">
      <formula>AND(N45&gt;3,NOT(ISBLANK(N45)))</formula>
    </cfRule>
  </conditionalFormatting>
  <conditionalFormatting sqref="N55:N63">
    <cfRule type="cellIs" dxfId="68" priority="19" operator="lessThanOrEqual">
      <formula>0</formula>
    </cfRule>
    <cfRule type="cellIs" dxfId="67" priority="20" operator="between">
      <formula>1</formula>
      <formula>3</formula>
    </cfRule>
    <cfRule type="expression" dxfId="66" priority="21">
      <formula>AND(N55&gt;3,NOT(ISBLANK(N55)))</formula>
    </cfRule>
  </conditionalFormatting>
  <conditionalFormatting sqref="N65:N73">
    <cfRule type="cellIs" dxfId="65" priority="22" operator="lessThanOrEqual">
      <formula>0</formula>
    </cfRule>
    <cfRule type="cellIs" dxfId="64" priority="23" operator="between">
      <formula>1</formula>
      <formula>3</formula>
    </cfRule>
    <cfRule type="expression" dxfId="63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62" priority="4" operator="lessThanOrEqual">
      <formula>0</formula>
    </cfRule>
    <cfRule type="cellIs" dxfId="61" priority="5" operator="between">
      <formula>1</formula>
      <formula>3</formula>
    </cfRule>
    <cfRule type="expression" dxfId="60" priority="6">
      <formula>AND(N5&gt;3,NOT(ISBLANK(N5)))</formula>
    </cfRule>
  </conditionalFormatting>
  <conditionalFormatting sqref="N15:N23">
    <cfRule type="cellIs" dxfId="59" priority="7" operator="lessThanOrEqual">
      <formula>0</formula>
    </cfRule>
    <cfRule type="cellIs" dxfId="58" priority="8" operator="between">
      <formula>1</formula>
      <formula>3</formula>
    </cfRule>
    <cfRule type="expression" dxfId="57" priority="9">
      <formula>AND(N15&gt;3,NOT(ISBLANK(N15)))</formula>
    </cfRule>
  </conditionalFormatting>
  <conditionalFormatting sqref="N25:N33">
    <cfRule type="cellIs" dxfId="56" priority="10" operator="lessThanOrEqual">
      <formula>0</formula>
    </cfRule>
    <cfRule type="cellIs" dxfId="55" priority="11" operator="between">
      <formula>1</formula>
      <formula>3</formula>
    </cfRule>
    <cfRule type="expression" dxfId="54" priority="12">
      <formula>AND(N25&gt;3,NOT(ISBLANK(N25)))</formula>
    </cfRule>
  </conditionalFormatting>
  <conditionalFormatting sqref="N35:N43">
    <cfRule type="cellIs" dxfId="53" priority="13" operator="lessThanOrEqual">
      <formula>0</formula>
    </cfRule>
    <cfRule type="cellIs" dxfId="52" priority="14" operator="between">
      <formula>1</formula>
      <formula>3</formula>
    </cfRule>
    <cfRule type="expression" dxfId="51" priority="15">
      <formula>AND(N35&gt;3,NOT(ISBLANK(N35)))</formula>
    </cfRule>
  </conditionalFormatting>
  <conditionalFormatting sqref="N45:N53">
    <cfRule type="cellIs" dxfId="50" priority="16" operator="lessThanOrEqual">
      <formula>0</formula>
    </cfRule>
    <cfRule type="cellIs" dxfId="49" priority="17" operator="between">
      <formula>1</formula>
      <formula>3</formula>
    </cfRule>
    <cfRule type="expression" dxfId="48" priority="18">
      <formula>AND(N45&gt;3,NOT(ISBLANK(N45)))</formula>
    </cfRule>
  </conditionalFormatting>
  <conditionalFormatting sqref="N55:N63">
    <cfRule type="cellIs" dxfId="47" priority="19" operator="lessThanOrEqual">
      <formula>0</formula>
    </cfRule>
    <cfRule type="cellIs" dxfId="46" priority="20" operator="between">
      <formula>1</formula>
      <formula>3</formula>
    </cfRule>
    <cfRule type="expression" dxfId="45" priority="21">
      <formula>AND(N55&gt;3,NOT(ISBLANK(N55)))</formula>
    </cfRule>
  </conditionalFormatting>
  <conditionalFormatting sqref="N65:N73">
    <cfRule type="cellIs" dxfId="44" priority="22" operator="lessThanOrEqual">
      <formula>0</formula>
    </cfRule>
    <cfRule type="cellIs" dxfId="43" priority="23" operator="between">
      <formula>1</formula>
      <formula>3</formula>
    </cfRule>
    <cfRule type="expression" dxfId="42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41" priority="4" operator="lessThanOrEqual">
      <formula>0</formula>
    </cfRule>
    <cfRule type="cellIs" dxfId="40" priority="5" operator="between">
      <formula>1</formula>
      <formula>3</formula>
    </cfRule>
    <cfRule type="expression" dxfId="39" priority="6">
      <formula>AND(N5&gt;3,NOT(ISBLANK(N5)))</formula>
    </cfRule>
  </conditionalFormatting>
  <conditionalFormatting sqref="N15:N23">
    <cfRule type="cellIs" dxfId="38" priority="7" operator="lessThanOrEqual">
      <formula>0</formula>
    </cfRule>
    <cfRule type="cellIs" dxfId="37" priority="8" operator="between">
      <formula>1</formula>
      <formula>3</formula>
    </cfRule>
    <cfRule type="expression" dxfId="36" priority="9">
      <formula>AND(N15&gt;3,NOT(ISBLANK(N15)))</formula>
    </cfRule>
  </conditionalFormatting>
  <conditionalFormatting sqref="N25:N33">
    <cfRule type="cellIs" dxfId="35" priority="10" operator="lessThanOrEqual">
      <formula>0</formula>
    </cfRule>
    <cfRule type="cellIs" dxfId="34" priority="11" operator="between">
      <formula>1</formula>
      <formula>3</formula>
    </cfRule>
    <cfRule type="expression" dxfId="33" priority="12">
      <formula>AND(N25&gt;3,NOT(ISBLANK(N25)))</formula>
    </cfRule>
  </conditionalFormatting>
  <conditionalFormatting sqref="N35:N43">
    <cfRule type="cellIs" dxfId="32" priority="13" operator="lessThanOrEqual">
      <formula>0</formula>
    </cfRule>
    <cfRule type="cellIs" dxfId="31" priority="14" operator="between">
      <formula>1</formula>
      <formula>3</formula>
    </cfRule>
    <cfRule type="expression" dxfId="30" priority="15">
      <formula>AND(N35&gt;3,NOT(ISBLANK(N35)))</formula>
    </cfRule>
  </conditionalFormatting>
  <conditionalFormatting sqref="N45:N53">
    <cfRule type="cellIs" dxfId="29" priority="16" operator="lessThanOrEqual">
      <formula>0</formula>
    </cfRule>
    <cfRule type="cellIs" dxfId="28" priority="17" operator="between">
      <formula>1</formula>
      <formula>3</formula>
    </cfRule>
    <cfRule type="expression" dxfId="27" priority="18">
      <formula>AND(N45&gt;3,NOT(ISBLANK(N45)))</formula>
    </cfRule>
  </conditionalFormatting>
  <conditionalFormatting sqref="N55:N63">
    <cfRule type="cellIs" dxfId="26" priority="19" operator="lessThanOrEqual">
      <formula>0</formula>
    </cfRule>
    <cfRule type="cellIs" dxfId="25" priority="20" operator="between">
      <formula>1</formula>
      <formula>3</formula>
    </cfRule>
    <cfRule type="expression" dxfId="24" priority="21">
      <formula>AND(N55&gt;3,NOT(ISBLANK(N55)))</formula>
    </cfRule>
  </conditionalFormatting>
  <conditionalFormatting sqref="N65:N73">
    <cfRule type="cellIs" dxfId="23" priority="22" operator="lessThanOrEqual">
      <formula>0</formula>
    </cfRule>
    <cfRule type="cellIs" dxfId="22" priority="23" operator="between">
      <formula>1</formula>
      <formula>3</formula>
    </cfRule>
    <cfRule type="expression" dxfId="21" priority="24">
      <formula>AND(N65&gt;3,NOT(ISBLANK(N65)))</formula>
    </cfRule>
  </conditionalFormatting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K73"/>
  <sheetViews>
    <sheetView workbookViewId="0"/>
  </sheetViews>
  <sheetFormatPr defaultColWidth="11" defaultRowHeight="15.95"/>
  <cols>
    <col min="1" max="1" width="13.375" bestFit="1" customWidth="1"/>
    <col min="2" max="11" width="15.625" customWidth="1"/>
    <col min="13" max="13" width="13.375" bestFit="1" customWidth="1"/>
    <col min="14" max="14" width="15.625" bestFit="1" customWidth="1"/>
    <col min="28" max="30" width="23.5" bestFit="1" customWidth="1"/>
    <col min="37" max="37" width="24.625" bestFit="1" customWidth="1"/>
  </cols>
  <sheetData>
    <row r="1" spans="1:37">
      <c r="A1" t="s">
        <v>24</v>
      </c>
    </row>
    <row r="2" spans="1:37">
      <c r="A2" t="s">
        <v>25</v>
      </c>
    </row>
    <row r="3" spans="1:37" ht="242.1" customHeight="1">
      <c r="A3" s="1" t="s">
        <v>26</v>
      </c>
      <c r="B3" s="2" t="str">
        <f>$A$4&amp;CHAR(10)&amp;
IF(B5&gt;0,"  - "&amp;B5&amp;" x Router"&amp;CHAR(10),"")&amp;
IF(B6&gt;0,"  - "&amp;B6&amp;" x Switch"&amp;CHAR(10),"")&amp;
IF(B7&gt;0,"  - "&amp;B7&amp;" x Laptops"&amp;CHAR(10),"")&amp;
IF(B8&gt;0,"  - "&amp;B8&amp;" x Kartendrucker"&amp;CHAR(10),"")&amp;
IF(B13&gt;0,"  - "&amp;B13&amp;" x iPad"&amp;CHAR(10),"")&amp;
IF(B9&gt;0,"  - "&amp;B9&amp;" x Laserdrucker"&amp;CHAR(10),"")&amp;
IF(B10&gt;0,"  - "&amp;B10&amp;" x Thermodrucker"&amp;CHAR(10),"")&amp;
IF(B11&gt;0,"  - "&amp;B11&amp;" x Scanner"&amp;CHAR(10),"")&amp;
IF(B12&gt;0,"  - "&amp;B12&amp;" x Handheld Scanner"&amp;CHAR(10),"")&amp;
$A$14&amp;CHAR(10)&amp;
IF(B15&gt;0,"  - "&amp;B15&amp;" x Router"&amp;CHAR(10),"")&amp;
IF(B16&gt;0,"  - "&amp;B16&amp;" x Switch"&amp;CHAR(10),"")&amp;
IF(B17&gt;0,"  - "&amp;B17&amp;" x Laptops"&amp;CHAR(10),"")&amp;
IF(B18&gt;0,"  - "&amp;B18&amp;" x Kartendrucker"&amp;CHAR(10),"")&amp;
IF(B23&gt;0,"  - "&amp;B23&amp;" x iPad"&amp;CHAR(10),"")&amp;
IF(B19&gt;0,"  - "&amp;B19&amp;" x Laserdrucker"&amp;CHAR(10),"")&amp;
IF(B20&gt;0,"  - "&amp;B20&amp;" x Thermodrucker"&amp;CHAR(10),"")&amp;
IF(B21&gt;0,"  - "&amp;B21&amp;" x Scanner"&amp;CHAR(10),"")&amp;
IF(B22&gt;0,"  - "&amp;B22&amp;" x Handheld Scanner"&amp;CHAR(10),"")&amp;
$A$24&amp;CHAR(10)&amp;
IF(B25&gt;0,"  - "&amp;B25&amp;" x Router"&amp;CHAR(10),"")&amp;
IF(B26&gt;0,"  - "&amp;B26&amp;" x Switch"&amp;CHAR(10),"")&amp;
IF(B27&gt;0,"  - "&amp;B27&amp;" x Laptops"&amp;CHAR(10),"")&amp;
IF(B28&gt;0,"  - "&amp;B28&amp;" x Kartendrucker"&amp;CHAR(10),"")&amp;
IF(B33&gt;0,"  - "&amp;B33&amp;" x iPad"&amp;CHAR(10),"")&amp;
IF(B29&gt;0,"  - "&amp;B29&amp;" x Laserdrucker"&amp;CHAR(10),"")&amp;
IF(B30&gt;0,"  - "&amp;B30&amp;" x Thermodrucker"&amp;CHAR(10),"")&amp;
IF(B31&gt;0,"  - "&amp;B31&amp;" x Scanner"&amp;CHAR(10),"")&amp;
IF(B32&gt;0,"  - "&amp;B32&amp;" x Handheld Scanner"&amp;CHAR(10),"")&amp;
$A$34&amp;CHAR(10)&amp;
IF(B35&gt;0,"  - "&amp;B35&amp;" x Router"&amp;CHAR(10),"")&amp;
IF(B36&gt;0,"  - "&amp;B36&amp;" x Switch"&amp;CHAR(10),"")&amp;
IF(B37&gt;0,"  - "&amp;B37&amp;" x Laptops"&amp;CHAR(10),"")&amp;
IF(B38&gt;0,"  - "&amp;B38&amp;" x Kartendrucker"&amp;CHAR(10),"")&amp;
IF(B43&gt;0,"  - "&amp;B43&amp;" x iPad"&amp;CHAR(10),"")&amp;
IF(B39&gt;0,"  - "&amp;B39&amp;" x Laserdrucker"&amp;CHAR(10),"")&amp;
IF(B40&gt;0,"  - "&amp;B40&amp;" x Thermodrucker"&amp;CHAR(10),"")&amp;
IF(B41&gt;0,"  - "&amp;B41&amp;" x Scanner"&amp;CHAR(10),"")&amp;
IF(B42&gt;0,"  - "&amp;B42&amp;" x Handheld Scanner"&amp;CHAR(10),"")&amp;
$A$44&amp;CHAR(10)&amp;
IF(B45&gt;0,"  - "&amp;B45&amp;" x Router"&amp;CHAR(10),"")&amp;
IF(B46&gt;0,"  - "&amp;B46&amp;" x Switch"&amp;CHAR(10),"")&amp;
IF(B47&gt;0,"  - "&amp;B47&amp;" x Laptops"&amp;CHAR(10),"")&amp;
IF(B48&gt;0,"  - "&amp;B48&amp;" x Kartendrucker"&amp;CHAR(10),"")&amp;
IF(B53&gt;0,"  - "&amp;B53&amp;" x iPad"&amp;CHAR(10),"")&amp;
IF(B49&gt;0,"  - "&amp;B49&amp;" x Laserdrucker"&amp;CHAR(10),"")&amp;
IF(B50&gt;0,"  - "&amp;B50&amp;" x Thermodrucker"&amp;CHAR(10),"")&amp;
IF(B51&gt;0,"  - "&amp;B51&amp;" x Scanner"&amp;CHAR(10),"")&amp;
IF(B52&gt;0,"  - "&amp;B52&amp;" x Handheld Scanner"&amp;CHAR(10),"")&amp;
$A$54&amp;CHAR(10)&amp;
IF(B55&gt;0,"  - "&amp;B55&amp;" x Router"&amp;CHAR(10),"")&amp;
IF(B56&gt;0,"  - "&amp;B56&amp;" x Switch"&amp;CHAR(10),"")&amp;
IF(B57&gt;0,"  - "&amp;B57&amp;" x Laptops"&amp;CHAR(10),"")&amp;
IF(B58&gt;0,"  - "&amp;B58&amp;" x Kartendrucker"&amp;CHAR(10),"")&amp;
IF(B63&gt;0,"  - "&amp;B63&amp;" x iPad"&amp;CHAR(10),"")&amp;
IF(B59&gt;0,"  - "&amp;B59&amp;" x Laserdrucker"&amp;CHAR(10),"")&amp;
IF(B60&gt;0,"  - "&amp;B60&amp;" x Thermodrucker"&amp;CHAR(10),"")&amp;
IF(B61&gt;0,"  - "&amp;B61&amp;" x Scanner"&amp;CHAR(10),"")&amp;
IF(B62&gt;0,"  - "&amp;B62&amp;" x Handheld Scanner"&amp;CHAR(10),"")&amp;
$A$64&amp;CHAR(10)&amp;
IF(B65&gt;0,"  - "&amp;B65&amp;" x Router"&amp;CHAR(10),"")&amp;
IF(B66&gt;0,"  - "&amp;B66&amp;" x Switch"&amp;CHAR(10),"")&amp;
IF(B67&gt;0,"  - "&amp;B67&amp;" x Laptops"&amp;CHAR(10),"")&amp;
IF(B68&gt;0,"  - "&amp;B68&amp;" x Kartendrucker"&amp;CHAR(10),"")&amp;
IF(B73&gt;0,"  - "&amp;B73&amp;" x iPad"&amp;CHAR(10),"")&amp;
IF(B69&gt;0,"  - "&amp;B69&amp;" x Laserdrucker"&amp;CHAR(10),"")&amp;
IF(B70&gt;0,"  - "&amp;B70&amp;" x Thermodrucker"&amp;CHAR(10),"")&amp;
IF(B71&gt;0,"  - "&amp;B71&amp;" x Scanner"&amp;CHAR(10),"")&amp;
IF(B72&gt;0,"  - "&amp;B72&amp;" x Handheld Scanner"&amp;CHAR(10),"")</f>
        <v xml:space="preserve">Montag  05.01.
Dienstag  06.01.
Mittwoch 07.01.
Donnerstag 08.01
Freitag 09.01
Samstag  10.01.
Sonnatg 11.01.
</v>
      </c>
      <c r="C3" s="2" t="str">
        <f>$A$4&amp;CHAR(10)&amp;
IF(C5&gt;0,"  - "&amp;C5&amp;" x Router"&amp;CHAR(10),"")&amp;
IF(C6&gt;0,"  - "&amp;C6&amp;" x Switch"&amp;CHAR(10),"")&amp;
IF(C7&gt;0,"  - "&amp;C7&amp;" x Laptops"&amp;CHAR(10),"")&amp;
IF(C8&gt;0,"  - "&amp;C8&amp;" x Kartendrucker"&amp;CHAR(10),"")&amp;
IF(C13&gt;0,"  - "&amp;C13&amp;" x iPad"&amp;CHAR(10),"")&amp;
IF(C9&gt;0,"  - "&amp;C9&amp;" x Laserdrucker"&amp;CHAR(10),"")&amp;
IF(C10&gt;0,"  - "&amp;C10&amp;" x Thermodrucker"&amp;CHAR(10),"")&amp;
IF(C11&gt;0,"  - "&amp;C11&amp;" x Scanner"&amp;CHAR(10),"")&amp;
IF(C12&gt;0,"  - "&amp;C12&amp;" x Handheld Scanner"&amp;CHAR(10),"")&amp;
$A$14&amp;CHAR(10)&amp;
IF(C15&gt;0,"  - "&amp;C15&amp;" x Router"&amp;CHAR(10),"")&amp;
IF(C16&gt;0,"  - "&amp;C16&amp;" x Switch"&amp;CHAR(10),"")&amp;
IF(C17&gt;0,"  - "&amp;C17&amp;" x Laptops"&amp;CHAR(10),"")&amp;
IF(C18&gt;0,"  - "&amp;C18&amp;" x Kartendrucker"&amp;CHAR(10),"")&amp;
IF(C23&gt;0,"  - "&amp;C23&amp;" x iPad"&amp;CHAR(10),"")&amp;
IF(C19&gt;0,"  - "&amp;C19&amp;" x Laserdrucker"&amp;CHAR(10),"")&amp;
IF(C20&gt;0,"  - "&amp;C20&amp;" x Thermodrucker"&amp;CHAR(10),"")&amp;
IF(C21&gt;0,"  - "&amp;C21&amp;" x Scanner"&amp;CHAR(10),"")&amp;
IF(C22&gt;0,"  - "&amp;C22&amp;" x Handheld Scanner"&amp;CHAR(10),"")&amp;
$A$24&amp;CHAR(10)&amp;
IF(C25&gt;0,"  - "&amp;C25&amp;" x Router"&amp;CHAR(10),"")&amp;
IF(C26&gt;0,"  - "&amp;C26&amp;" x Switch"&amp;CHAR(10),"")&amp;
IF(C27&gt;0,"  - "&amp;C27&amp;" x Laptops"&amp;CHAR(10),"")&amp;
IF(C28&gt;0,"  - "&amp;C28&amp;" x Kartendrucker"&amp;CHAR(10),"")&amp;
IF(C33&gt;0,"  - "&amp;C33&amp;" x iPad"&amp;CHAR(10),"")&amp;
IF(C29&gt;0,"  - "&amp;C29&amp;" x Laserdrucker"&amp;CHAR(10),"")&amp;
IF(C30&gt;0,"  - "&amp;C30&amp;" x Thermodrucker"&amp;CHAR(10),"")&amp;
IF(C31&gt;0,"  - "&amp;C31&amp;" x Scanner"&amp;CHAR(10),"")&amp;
IF(C32&gt;0,"  - "&amp;C32&amp;" x Handheld Scanner"&amp;CHAR(10),"")&amp;
$A$34&amp;CHAR(10)&amp;
IF(C35&gt;0,"  - "&amp;C35&amp;" x Router"&amp;CHAR(10),"")&amp;
IF(C36&gt;0,"  - "&amp;C36&amp;" x Switch"&amp;CHAR(10),"")&amp;
IF(C37&gt;0,"  - "&amp;C37&amp;" x Laptops"&amp;CHAR(10),"")&amp;
IF(C38&gt;0,"  - "&amp;C38&amp;" x Kartendrucker"&amp;CHAR(10),"")&amp;
IF(C43&gt;0,"  - "&amp;C43&amp;" x iPad"&amp;CHAR(10),"")&amp;
IF(C39&gt;0,"  - "&amp;C39&amp;" x Laserdrucker"&amp;CHAR(10),"")&amp;
IF(C40&gt;0,"  - "&amp;C40&amp;" x Thermodrucker"&amp;CHAR(10),"")&amp;
IF(C41&gt;0,"  - "&amp;C41&amp;" x Scanner"&amp;CHAR(10),"")&amp;
IF(C42&gt;0,"  - "&amp;C42&amp;" x Handheld Scanner"&amp;CHAR(10),"")&amp;
$A$44&amp;CHAR(10)&amp;
IF(C45&gt;0,"  - "&amp;C45&amp;" x Router"&amp;CHAR(10),"")&amp;
IF(C46&gt;0,"  - "&amp;C46&amp;" x Switch"&amp;CHAR(10),"")&amp;
IF(C47&gt;0,"  - "&amp;C47&amp;" x Laptops"&amp;CHAR(10),"")&amp;
IF(C48&gt;0,"  - "&amp;C48&amp;" x Kartendrucker"&amp;CHAR(10),"")&amp;
IF(C53&gt;0,"  - "&amp;C53&amp;" x iPad"&amp;CHAR(10),"")&amp;
IF(C49&gt;0,"  - "&amp;C49&amp;" x Laserdrucker"&amp;CHAR(10),"")&amp;
IF(C50&gt;0,"  - "&amp;C50&amp;" x Thermodrucker"&amp;CHAR(10),"")&amp;
IF(C51&gt;0,"  - "&amp;C51&amp;" x Scanner"&amp;CHAR(10),"")&amp;
IF(C52&gt;0,"  - "&amp;C52&amp;" x Handheld Scanner"&amp;CHAR(10),"")&amp;
$A$54&amp;CHAR(10)&amp;
IF(C55&gt;0,"  - "&amp;C55&amp;" x Router"&amp;CHAR(10),"")&amp;
IF(C56&gt;0,"  - "&amp;C56&amp;" x Switch"&amp;CHAR(10),"")&amp;
IF(C57&gt;0,"  - "&amp;C57&amp;" x Laptops"&amp;CHAR(10),"")&amp;
IF(C58&gt;0,"  - "&amp;C58&amp;" x Kartendrucker"&amp;CHAR(10),"")&amp;
IF(C63&gt;0,"  - "&amp;C63&amp;" x iPad"&amp;CHAR(10),"")&amp;
IF(C59&gt;0,"  - "&amp;C59&amp;" x Laserdrucker"&amp;CHAR(10),"")&amp;
IF(C60&gt;0,"  - "&amp;C60&amp;" x Thermodrucker"&amp;CHAR(10),"")&amp;
IF(C61&gt;0,"  - "&amp;C61&amp;" x Scanner"&amp;CHAR(10),"")&amp;
IF(C62&gt;0,"  - "&amp;C62&amp;" x Handheld Scanner"&amp;CHAR(10),"")&amp;
$A$64&amp;CHAR(10)&amp;
IF(C65&gt;0,"  - "&amp;C65&amp;" x Router"&amp;CHAR(10),"")&amp;
IF(C66&gt;0,"  - "&amp;C66&amp;" x Switch"&amp;CHAR(10),"")&amp;
IF(C67&gt;0,"  - "&amp;C67&amp;" x Laptops"&amp;CHAR(10),"")&amp;
IF(C68&gt;0,"  - "&amp;C68&amp;" x Kartendrucker"&amp;CHAR(10),"")&amp;
IF(C73&gt;0,"  - "&amp;C73&amp;" x iPad"&amp;CHAR(10),"")&amp;
IF(C69&gt;0,"  - "&amp;C69&amp;" x Laserdrucker"&amp;CHAR(10),"")&amp;
IF(C70&gt;0,"  - "&amp;C70&amp;" x Thermodrucker"&amp;CHAR(10),"")&amp;
IF(C71&gt;0,"  - "&amp;C71&amp;" x Scanner"&amp;CHAR(10),"")&amp;
IF(C72&gt;0,"  - "&amp;C72&amp;" x Handheld Scanner"&amp;CHAR(10),"")</f>
        <v xml:space="preserve">Montag  05.01.
Dienstag  06.01.
Mittwoch 07.01.
Donnerstag 08.01
Freitag 09.01
Samstag  10.01.
Sonnatg 11.01.
</v>
      </c>
      <c r="D3" s="2" t="str">
        <f t="shared" ref="D3:K3" si="0">$A$4&amp;CHAR(10)&amp;
IF(D5&gt;0,"  - "&amp;D5&amp;" x Router"&amp;CHAR(10),"")&amp;
IF(D6&gt;0,"  - "&amp;D6&amp;" x Switch"&amp;CHAR(10),"")&amp;
IF(D7&gt;0,"  - "&amp;D7&amp;" x Laptops"&amp;CHAR(10),"")&amp;
IF(D8&gt;0,"  - "&amp;D8&amp;" x Kartendrucker"&amp;CHAR(10),"")&amp;
IF(D13&gt;0,"  - "&amp;D13&amp;" x iPad"&amp;CHAR(10),"")&amp;
IF(D9&gt;0,"  - "&amp;D9&amp;" x Laserdrucker"&amp;CHAR(10),"")&amp;
IF(D10&gt;0,"  - "&amp;D10&amp;" x Thermodrucker"&amp;CHAR(10),"")&amp;
IF(D11&gt;0,"  - "&amp;D11&amp;" x Scanner"&amp;CHAR(10),"")&amp;
IF(D12&gt;0,"  - "&amp;D12&amp;" x Handheld Scanner"&amp;CHAR(10),"")&amp;
$A$14&amp;CHAR(10)&amp;
IF(D15&gt;0,"  - "&amp;D15&amp;" x Router"&amp;CHAR(10),"")&amp;
IF(D16&gt;0,"  - "&amp;D16&amp;" x Switch"&amp;CHAR(10),"")&amp;
IF(D17&gt;0,"  - "&amp;D17&amp;" x Laptops"&amp;CHAR(10),"")&amp;
IF(D18&gt;0,"  - "&amp;D18&amp;" x Kartendrucker"&amp;CHAR(10),"")&amp;
IF(D23&gt;0,"  - "&amp;D23&amp;" x iPad"&amp;CHAR(10),"")&amp;
IF(D19&gt;0,"  - "&amp;D19&amp;" x Laserdrucker"&amp;CHAR(10),"")&amp;
IF(D20&gt;0,"  - "&amp;D20&amp;" x Thermodrucker"&amp;CHAR(10),"")&amp;
IF(D21&gt;0,"  - "&amp;D21&amp;" x Scanner"&amp;CHAR(10),"")&amp;
IF(D22&gt;0,"  - "&amp;D22&amp;" x Handheld Scanner"&amp;CHAR(10),"")&amp;
$A$24&amp;CHAR(10)&amp;
IF(D25&gt;0,"  - "&amp;D25&amp;" x Router"&amp;CHAR(10),"")&amp;
IF(D26&gt;0,"  - "&amp;D26&amp;" x Switch"&amp;CHAR(10),"")&amp;
IF(D27&gt;0,"  - "&amp;D27&amp;" x Laptops"&amp;CHAR(10),"")&amp;
IF(D28&gt;0,"  - "&amp;D28&amp;" x Kartendrucker"&amp;CHAR(10),"")&amp;
IF(D33&gt;0,"  - "&amp;D33&amp;" x iPad"&amp;CHAR(10),"")&amp;
IF(D29&gt;0,"  - "&amp;D29&amp;" x Laserdrucker"&amp;CHAR(10),"")&amp;
IF(D30&gt;0,"  - "&amp;D30&amp;" x Thermodrucker"&amp;CHAR(10),"")&amp;
IF(D31&gt;0,"  - "&amp;D31&amp;" x Scanner"&amp;CHAR(10),"")&amp;
IF(D32&gt;0,"  - "&amp;D32&amp;" x Handheld Scanner"&amp;CHAR(10),"")&amp;
$A$34&amp;CHAR(10)&amp;
IF(D35&gt;0,"  - "&amp;D35&amp;" x Router"&amp;CHAR(10),"")&amp;
IF(D36&gt;0,"  - "&amp;D36&amp;" x Switch"&amp;CHAR(10),"")&amp;
IF(D37&gt;0,"  - "&amp;D37&amp;" x Laptops"&amp;CHAR(10),"")&amp;
IF(D38&gt;0,"  - "&amp;D38&amp;" x Kartendrucker"&amp;CHAR(10),"")&amp;
IF(D43&gt;0,"  - "&amp;D43&amp;" x iPad"&amp;CHAR(10),"")&amp;
IF(D39&gt;0,"  - "&amp;D39&amp;" x Laserdrucker"&amp;CHAR(10),"")&amp;
IF(D40&gt;0,"  - "&amp;D40&amp;" x Thermodrucker"&amp;CHAR(10),"")&amp;
IF(D41&gt;0,"  - "&amp;D41&amp;" x Scanner"&amp;CHAR(10),"")&amp;
IF(D42&gt;0,"  - "&amp;D42&amp;" x Handheld Scanner"&amp;CHAR(10),"")&amp;
$A$44&amp;CHAR(10)&amp;
IF(D45&gt;0,"  - "&amp;D45&amp;" x Router"&amp;CHAR(10),"")&amp;
IF(D46&gt;0,"  - "&amp;D46&amp;" x Switch"&amp;CHAR(10),"")&amp;
IF(D47&gt;0,"  - "&amp;D47&amp;" x Laptops"&amp;CHAR(10),"")&amp;
IF(D48&gt;0,"  - "&amp;D48&amp;" x Kartendrucker"&amp;CHAR(10),"")&amp;
IF(D53&gt;0,"  - "&amp;D53&amp;" x iPad"&amp;CHAR(10),"")&amp;
IF(D49&gt;0,"  - "&amp;D49&amp;" x Laserdrucker"&amp;CHAR(10),"")&amp;
IF(D50&gt;0,"  - "&amp;D50&amp;" x Thermodrucker"&amp;CHAR(10),"")&amp;
IF(D51&gt;0,"  - "&amp;D51&amp;" x Scanner"&amp;CHAR(10),"")&amp;
IF(D52&gt;0,"  - "&amp;D52&amp;" x Handheld Scanner"&amp;CHAR(10),"")&amp;
$A$54&amp;CHAR(10)&amp;
IF(D55&gt;0,"  - "&amp;D55&amp;" x Router"&amp;CHAR(10),"")&amp;
IF(D56&gt;0,"  - "&amp;D56&amp;" x Switch"&amp;CHAR(10),"")&amp;
IF(D57&gt;0,"  - "&amp;D57&amp;" x Laptops"&amp;CHAR(10),"")&amp;
IF(D58&gt;0,"  - "&amp;D58&amp;" x Kartendrucker"&amp;CHAR(10),"")&amp;
IF(D63&gt;0,"  - "&amp;D63&amp;" x iPad"&amp;CHAR(10),"")&amp;
IF(D59&gt;0,"  - "&amp;D59&amp;" x Laserdrucker"&amp;CHAR(10),"")&amp;
IF(D60&gt;0,"  - "&amp;D60&amp;" x Thermodrucker"&amp;CHAR(10),"")&amp;
IF(D61&gt;0,"  - "&amp;D61&amp;" x Scanner"&amp;CHAR(10),"")&amp;
IF(D62&gt;0,"  - "&amp;D62&amp;" x Handheld Scanner"&amp;CHAR(10),"")&amp;
$A$64&amp;CHAR(10)&amp;
IF(D65&gt;0,"  - "&amp;D65&amp;" x Router"&amp;CHAR(10),"")&amp;
IF(D66&gt;0,"  - "&amp;D66&amp;" x Switch"&amp;CHAR(10),"")&amp;
IF(D67&gt;0,"  - "&amp;D67&amp;" x Laptops"&amp;CHAR(10),"")&amp;
IF(D68&gt;0,"  - "&amp;D68&amp;" x Kartendrucker"&amp;CHAR(10),"")&amp;
IF(D73&gt;0,"  - "&amp;D73&amp;" x iPad"&amp;CHAR(10),"")&amp;
IF(D69&gt;0,"  - "&amp;D69&amp;" x Laserdrucker"&amp;CHAR(10),"")&amp;
IF(D70&gt;0,"  - "&amp;D70&amp;" x Thermodrucker"&amp;CHAR(10),"")&amp;
IF(D71&gt;0,"  - "&amp;D71&amp;" x Scanner"&amp;CHAR(10),"")&amp;
IF(D72&gt;0,"  - "&amp;D72&amp;" x Handheld Scanner"&amp;CHAR(10),"")</f>
        <v xml:space="preserve">Montag  05.01.
Dienstag  06.01.
Mittwoch 07.01.
Donnerstag 08.01
Freitag 09.01
Samstag  10.01.
Sonnatg 11.01.
</v>
      </c>
      <c r="E3" s="2" t="str">
        <f t="shared" si="0"/>
        <v xml:space="preserve">Montag  05.01.
Dienstag  06.01.
Mittwoch 07.01.
Donnerstag 08.01
Freitag 09.01
Samstag  10.01.
Sonnatg 11.01.
</v>
      </c>
      <c r="F3" s="2" t="str">
        <f t="shared" si="0"/>
        <v xml:space="preserve">Montag  05.01.
Dienstag  06.01.
Mittwoch 07.01.
Donnerstag 08.01
Freitag 09.01
Samstag  10.01.
Sonnatg 11.01.
</v>
      </c>
      <c r="G3" s="2" t="str">
        <f t="shared" si="0"/>
        <v xml:space="preserve">Montag  05.01.
Dienstag  06.01.
Mittwoch 07.01.
Donnerstag 08.01
Freitag 09.01
Samstag  10.01.
Sonnatg 11.01.
</v>
      </c>
      <c r="H3" s="2" t="str">
        <f t="shared" si="0"/>
        <v xml:space="preserve">Montag  05.01.
Dienstag  06.01.
Mittwoch 07.01.
Donnerstag 08.01
Freitag 09.01
Samstag  10.01.
Sonnatg 11.01.
</v>
      </c>
      <c r="I3" s="2" t="str">
        <f t="shared" si="0"/>
        <v xml:space="preserve">Montag  05.01.
Dienstag  06.01.
Mittwoch 07.01.
Donnerstag 08.01
Freitag 09.01
Samstag  10.01.
Sonnatg 11.01.
</v>
      </c>
      <c r="J3" s="2" t="str">
        <f t="shared" si="0"/>
        <v xml:space="preserve">Montag  05.01.
Dienstag  06.01.
Mittwoch 07.01.
Donnerstag 08.01
Freitag 09.01
Samstag  10.01.
Sonnatg 11.01.
</v>
      </c>
      <c r="K3" s="2" t="str">
        <f t="shared" si="0"/>
        <v xml:space="preserve">Montag  05.01.
Dienstag  06.01.
Mittwoch 07.01.
Donnerstag 08.01
Freitag 09.01
Samstag  10.01.
Sonnatg 11.01.
</v>
      </c>
      <c r="L3" s="2"/>
    </row>
    <row r="4" spans="1:37" s="3" customFormat="1">
      <c r="A4" s="3" t="s">
        <v>27</v>
      </c>
      <c r="N4" s="3" t="s">
        <v>28</v>
      </c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5" t="s">
        <v>29</v>
      </c>
      <c r="L5">
        <f t="shared" ref="L5:L13" si="1">SUM(B5:K5)</f>
        <v>0</v>
      </c>
      <c r="M5" s="5" t="s">
        <v>29</v>
      </c>
      <c r="N5">
        <f>Bestand!$F$13 -(L5)</f>
        <v>9</v>
      </c>
    </row>
    <row r="6" spans="1:37">
      <c r="A6" s="5" t="s">
        <v>23</v>
      </c>
      <c r="L6">
        <f t="shared" si="1"/>
        <v>0</v>
      </c>
      <c r="M6" s="5" t="s">
        <v>23</v>
      </c>
      <c r="N6">
        <f>Bestand!$F$14 -(L6)</f>
        <v>7</v>
      </c>
    </row>
    <row r="7" spans="1:37">
      <c r="A7" s="5" t="s">
        <v>5</v>
      </c>
      <c r="L7">
        <f t="shared" si="1"/>
        <v>0</v>
      </c>
      <c r="M7" s="5" t="s">
        <v>5</v>
      </c>
      <c r="N7">
        <f>Bestand!$F$2 -(L7)</f>
        <v>32</v>
      </c>
    </row>
    <row r="8" spans="1:37">
      <c r="A8" s="5" t="s">
        <v>7</v>
      </c>
      <c r="L8">
        <f t="shared" si="1"/>
        <v>0</v>
      </c>
      <c r="M8" s="5" t="s">
        <v>7</v>
      </c>
      <c r="N8">
        <f>Bestand!$F$3 -(L8)</f>
        <v>12</v>
      </c>
    </row>
    <row r="9" spans="1:37">
      <c r="A9" s="5" t="s">
        <v>30</v>
      </c>
      <c r="L9">
        <f t="shared" si="1"/>
        <v>0</v>
      </c>
      <c r="M9" s="5" t="s">
        <v>30</v>
      </c>
      <c r="N9">
        <f>Bestand!$F$8 -(L9)</f>
        <v>33</v>
      </c>
    </row>
    <row r="10" spans="1:37">
      <c r="A10" s="5" t="s">
        <v>15</v>
      </c>
      <c r="L10">
        <f t="shared" si="1"/>
        <v>0</v>
      </c>
      <c r="M10" s="5" t="s">
        <v>15</v>
      </c>
      <c r="N10">
        <f>Bestand!$F$9 -(L10)</f>
        <v>12</v>
      </c>
    </row>
    <row r="11" spans="1:37">
      <c r="A11" s="5" t="s">
        <v>16</v>
      </c>
      <c r="L11">
        <f t="shared" si="1"/>
        <v>0</v>
      </c>
      <c r="M11" s="5" t="s">
        <v>16</v>
      </c>
      <c r="N11">
        <f>Bestand!$F$10 -(L11)</f>
        <v>29</v>
      </c>
    </row>
    <row r="12" spans="1:37">
      <c r="A12" s="5" t="s">
        <v>31</v>
      </c>
      <c r="L12">
        <f t="shared" si="1"/>
        <v>0</v>
      </c>
      <c r="M12" s="5" t="s">
        <v>31</v>
      </c>
      <c r="N12">
        <f>Bestand!$F$11 -(L12)</f>
        <v>24</v>
      </c>
    </row>
    <row r="13" spans="1:37">
      <c r="A13" s="5" t="s">
        <v>19</v>
      </c>
      <c r="L13">
        <f t="shared" si="1"/>
        <v>0</v>
      </c>
      <c r="M13" s="5" t="s">
        <v>19</v>
      </c>
      <c r="N13">
        <f>Bestand!$F$12 -(L13)</f>
        <v>31</v>
      </c>
    </row>
    <row r="14" spans="1:37" s="3" customFormat="1">
      <c r="A14" s="3" t="s">
        <v>32</v>
      </c>
      <c r="L14" s="3" t="s">
        <v>33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5" t="s">
        <v>29</v>
      </c>
      <c r="L15">
        <f t="shared" ref="L15:L23" si="2">SUM(B15:K15)</f>
        <v>0</v>
      </c>
      <c r="M15" s="5" t="s">
        <v>29</v>
      </c>
      <c r="N15">
        <f>Bestand!$F$13 -(L15)</f>
        <v>9</v>
      </c>
    </row>
    <row r="16" spans="1:37">
      <c r="A16" s="5" t="s">
        <v>23</v>
      </c>
      <c r="L16">
        <f t="shared" si="2"/>
        <v>0</v>
      </c>
      <c r="M16" s="5" t="s">
        <v>23</v>
      </c>
      <c r="N16">
        <f>Bestand!$F$14 -(L16)</f>
        <v>7</v>
      </c>
    </row>
    <row r="17" spans="1:37">
      <c r="A17" s="5" t="s">
        <v>5</v>
      </c>
      <c r="L17">
        <f t="shared" si="2"/>
        <v>0</v>
      </c>
      <c r="M17" s="5" t="s">
        <v>5</v>
      </c>
      <c r="N17">
        <f>Bestand!$F$2 -(L17)</f>
        <v>32</v>
      </c>
    </row>
    <row r="18" spans="1:37">
      <c r="A18" s="5" t="s">
        <v>7</v>
      </c>
      <c r="L18">
        <f t="shared" si="2"/>
        <v>0</v>
      </c>
      <c r="M18" s="5" t="s">
        <v>7</v>
      </c>
      <c r="N18">
        <f>Bestand!$F$3 -(L18)</f>
        <v>12</v>
      </c>
    </row>
    <row r="19" spans="1:37">
      <c r="A19" s="5" t="s">
        <v>30</v>
      </c>
      <c r="L19">
        <f t="shared" si="2"/>
        <v>0</v>
      </c>
      <c r="M19" s="5" t="s">
        <v>30</v>
      </c>
      <c r="N19">
        <f>Bestand!$F$8 -(L19)</f>
        <v>33</v>
      </c>
    </row>
    <row r="20" spans="1:37">
      <c r="A20" s="5" t="s">
        <v>15</v>
      </c>
      <c r="L20">
        <f t="shared" si="2"/>
        <v>0</v>
      </c>
      <c r="M20" s="5" t="s">
        <v>15</v>
      </c>
      <c r="N20">
        <f>Bestand!$F$9 -(L20)</f>
        <v>12</v>
      </c>
    </row>
    <row r="21" spans="1:37">
      <c r="A21" s="5" t="s">
        <v>16</v>
      </c>
      <c r="L21">
        <f t="shared" si="2"/>
        <v>0</v>
      </c>
      <c r="M21" s="5" t="s">
        <v>16</v>
      </c>
      <c r="N21">
        <f>Bestand!$F$10 -(L21)</f>
        <v>29</v>
      </c>
    </row>
    <row r="22" spans="1:37">
      <c r="A22" s="5" t="s">
        <v>31</v>
      </c>
      <c r="L22">
        <f t="shared" si="2"/>
        <v>0</v>
      </c>
      <c r="M22" s="5" t="s">
        <v>31</v>
      </c>
      <c r="N22">
        <f>Bestand!$F$11 -(L22)</f>
        <v>24</v>
      </c>
    </row>
    <row r="23" spans="1:37">
      <c r="A23" s="5" t="s">
        <v>19</v>
      </c>
      <c r="L23">
        <f t="shared" si="2"/>
        <v>0</v>
      </c>
      <c r="M23" s="5" t="s">
        <v>19</v>
      </c>
      <c r="N23">
        <f>Bestand!$F$12 -(L23)</f>
        <v>31</v>
      </c>
    </row>
    <row r="24" spans="1:37" s="3" customFormat="1">
      <c r="A24" s="3" t="s">
        <v>34</v>
      </c>
      <c r="L24" s="3" t="s">
        <v>35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5" t="s">
        <v>29</v>
      </c>
      <c r="L25">
        <f t="shared" ref="L25:L33" si="3">SUM(B25:K25)</f>
        <v>0</v>
      </c>
      <c r="M25" s="5" t="s">
        <v>29</v>
      </c>
      <c r="N25">
        <f>Bestand!$F$13 -(L25)</f>
        <v>9</v>
      </c>
    </row>
    <row r="26" spans="1:37">
      <c r="A26" s="5" t="s">
        <v>23</v>
      </c>
      <c r="L26">
        <f t="shared" si="3"/>
        <v>0</v>
      </c>
      <c r="M26" s="5" t="s">
        <v>23</v>
      </c>
      <c r="N26">
        <f>Bestand!$F$14 -(L26)</f>
        <v>7</v>
      </c>
    </row>
    <row r="27" spans="1:37">
      <c r="A27" s="5" t="s">
        <v>5</v>
      </c>
      <c r="L27">
        <f t="shared" si="3"/>
        <v>0</v>
      </c>
      <c r="M27" s="5" t="s">
        <v>5</v>
      </c>
      <c r="N27">
        <f>Bestand!$F$2 -(L27)</f>
        <v>32</v>
      </c>
    </row>
    <row r="28" spans="1:37">
      <c r="A28" s="5" t="s">
        <v>7</v>
      </c>
      <c r="L28">
        <f t="shared" si="3"/>
        <v>0</v>
      </c>
      <c r="M28" s="5" t="s">
        <v>7</v>
      </c>
      <c r="N28">
        <f>Bestand!$F$3 -(L28)</f>
        <v>12</v>
      </c>
    </row>
    <row r="29" spans="1:37">
      <c r="A29" s="5" t="s">
        <v>30</v>
      </c>
      <c r="L29">
        <f t="shared" si="3"/>
        <v>0</v>
      </c>
      <c r="M29" s="5" t="s">
        <v>30</v>
      </c>
      <c r="N29">
        <f>Bestand!$F$8 -(L29)</f>
        <v>33</v>
      </c>
    </row>
    <row r="30" spans="1:37">
      <c r="A30" s="5" t="s">
        <v>15</v>
      </c>
      <c r="L30">
        <f t="shared" si="3"/>
        <v>0</v>
      </c>
      <c r="M30" s="5" t="s">
        <v>15</v>
      </c>
      <c r="N30">
        <f>Bestand!$F$9 -(L30)</f>
        <v>12</v>
      </c>
    </row>
    <row r="31" spans="1:37">
      <c r="A31" s="5" t="s">
        <v>16</v>
      </c>
      <c r="L31">
        <f t="shared" si="3"/>
        <v>0</v>
      </c>
      <c r="M31" s="5" t="s">
        <v>16</v>
      </c>
      <c r="N31">
        <f>Bestand!$F$10 -(L31)</f>
        <v>29</v>
      </c>
    </row>
    <row r="32" spans="1:37">
      <c r="A32" s="5" t="s">
        <v>31</v>
      </c>
      <c r="L32">
        <f t="shared" si="3"/>
        <v>0</v>
      </c>
      <c r="M32" s="5" t="s">
        <v>31</v>
      </c>
      <c r="N32">
        <f>Bestand!$F$11 -(L32)</f>
        <v>24</v>
      </c>
    </row>
    <row r="33" spans="1:37">
      <c r="A33" s="5" t="s">
        <v>19</v>
      </c>
      <c r="L33">
        <f t="shared" si="3"/>
        <v>0</v>
      </c>
      <c r="M33" s="5" t="s">
        <v>19</v>
      </c>
      <c r="N33">
        <f>Bestand!$F$12 -(L33)</f>
        <v>31</v>
      </c>
    </row>
    <row r="34" spans="1:37" s="3" customFormat="1">
      <c r="A34" s="3" t="s">
        <v>36</v>
      </c>
      <c r="L34" s="3" t="s">
        <v>37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5" t="s">
        <v>29</v>
      </c>
      <c r="L35">
        <f t="shared" ref="L35:L43" si="4">SUM(B35:K35)</f>
        <v>0</v>
      </c>
      <c r="M35" s="5" t="s">
        <v>29</v>
      </c>
      <c r="N35">
        <f>Bestand!$F$13 -(L35)</f>
        <v>9</v>
      </c>
    </row>
    <row r="36" spans="1:37">
      <c r="A36" s="5" t="s">
        <v>23</v>
      </c>
      <c r="L36">
        <f t="shared" si="4"/>
        <v>0</v>
      </c>
      <c r="M36" s="5" t="s">
        <v>23</v>
      </c>
      <c r="N36">
        <f>Bestand!$F$14 -(L36)</f>
        <v>7</v>
      </c>
    </row>
    <row r="37" spans="1:37">
      <c r="A37" s="5" t="s">
        <v>5</v>
      </c>
      <c r="L37">
        <f t="shared" si="4"/>
        <v>0</v>
      </c>
      <c r="M37" s="5" t="s">
        <v>5</v>
      </c>
      <c r="N37">
        <f>Bestand!$F$2 -(L37)</f>
        <v>32</v>
      </c>
    </row>
    <row r="38" spans="1:37">
      <c r="A38" s="5" t="s">
        <v>7</v>
      </c>
      <c r="L38">
        <f t="shared" si="4"/>
        <v>0</v>
      </c>
      <c r="M38" s="5" t="s">
        <v>7</v>
      </c>
      <c r="N38">
        <f>Bestand!$F$3 -(L38)</f>
        <v>12</v>
      </c>
    </row>
    <row r="39" spans="1:37">
      <c r="A39" s="5" t="s">
        <v>30</v>
      </c>
      <c r="L39">
        <f t="shared" si="4"/>
        <v>0</v>
      </c>
      <c r="M39" s="5" t="s">
        <v>30</v>
      </c>
      <c r="N39">
        <f>Bestand!$F$8 -(L39)</f>
        <v>33</v>
      </c>
    </row>
    <row r="40" spans="1:37">
      <c r="A40" s="5" t="s">
        <v>15</v>
      </c>
      <c r="L40">
        <f t="shared" si="4"/>
        <v>0</v>
      </c>
      <c r="M40" s="5" t="s">
        <v>15</v>
      </c>
      <c r="N40">
        <f>Bestand!$F$9 -(L40)</f>
        <v>12</v>
      </c>
    </row>
    <row r="41" spans="1:37">
      <c r="A41" s="5" t="s">
        <v>16</v>
      </c>
      <c r="L41">
        <f t="shared" si="4"/>
        <v>0</v>
      </c>
      <c r="M41" s="5" t="s">
        <v>16</v>
      </c>
      <c r="N41">
        <f>Bestand!$F$10 -(L41)</f>
        <v>29</v>
      </c>
    </row>
    <row r="42" spans="1:37">
      <c r="A42" s="5" t="s">
        <v>31</v>
      </c>
      <c r="L42">
        <f t="shared" si="4"/>
        <v>0</v>
      </c>
      <c r="M42" s="5" t="s">
        <v>31</v>
      </c>
      <c r="N42">
        <f>Bestand!$F$11 -(L42)</f>
        <v>24</v>
      </c>
    </row>
    <row r="43" spans="1:37">
      <c r="A43" s="5" t="s">
        <v>19</v>
      </c>
      <c r="L43">
        <f t="shared" si="4"/>
        <v>0</v>
      </c>
      <c r="M43" s="5" t="s">
        <v>19</v>
      </c>
      <c r="N43">
        <f>Bestand!$F$12 -(L43)</f>
        <v>31</v>
      </c>
    </row>
    <row r="44" spans="1:37" s="3" customFormat="1">
      <c r="A44" s="3" t="s">
        <v>38</v>
      </c>
      <c r="B44" s="6"/>
      <c r="C44" s="6"/>
      <c r="L44" s="3" t="s">
        <v>39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5" t="s">
        <v>29</v>
      </c>
      <c r="B45" s="7"/>
      <c r="C45" s="7"/>
      <c r="L45">
        <f t="shared" ref="L45:L53" si="5">SUM(B45:K45)</f>
        <v>0</v>
      </c>
      <c r="M45" s="5" t="s">
        <v>29</v>
      </c>
      <c r="N45">
        <f>Bestand!$F$13 -(L45)</f>
        <v>9</v>
      </c>
    </row>
    <row r="46" spans="1:37">
      <c r="A46" s="5" t="s">
        <v>23</v>
      </c>
      <c r="B46" s="7"/>
      <c r="C46" s="7"/>
      <c r="L46">
        <f t="shared" si="5"/>
        <v>0</v>
      </c>
      <c r="M46" s="5" t="s">
        <v>23</v>
      </c>
      <c r="N46">
        <f>Bestand!$F$14 -(L46)</f>
        <v>7</v>
      </c>
    </row>
    <row r="47" spans="1:37">
      <c r="A47" s="5" t="s">
        <v>5</v>
      </c>
      <c r="B47" s="7"/>
      <c r="C47" s="7"/>
      <c r="L47">
        <f t="shared" si="5"/>
        <v>0</v>
      </c>
      <c r="M47" s="5" t="s">
        <v>5</v>
      </c>
      <c r="N47">
        <f>Bestand!$F$2 -(L47)</f>
        <v>32</v>
      </c>
    </row>
    <row r="48" spans="1:37">
      <c r="A48" s="5" t="s">
        <v>7</v>
      </c>
      <c r="B48" s="7"/>
      <c r="C48" s="7"/>
      <c r="L48">
        <f t="shared" si="5"/>
        <v>0</v>
      </c>
      <c r="M48" s="5" t="s">
        <v>7</v>
      </c>
      <c r="N48">
        <f>Bestand!$F$3 -(L48)</f>
        <v>12</v>
      </c>
    </row>
    <row r="49" spans="1:37">
      <c r="A49" s="5" t="s">
        <v>30</v>
      </c>
      <c r="B49" s="7"/>
      <c r="C49" s="7"/>
      <c r="L49">
        <f t="shared" si="5"/>
        <v>0</v>
      </c>
      <c r="M49" s="5" t="s">
        <v>30</v>
      </c>
      <c r="N49">
        <f>Bestand!$F$8 -(L49)</f>
        <v>33</v>
      </c>
    </row>
    <row r="50" spans="1:37">
      <c r="A50" s="5" t="s">
        <v>15</v>
      </c>
      <c r="B50" s="7"/>
      <c r="C50" s="7"/>
      <c r="L50">
        <f t="shared" si="5"/>
        <v>0</v>
      </c>
      <c r="M50" s="5" t="s">
        <v>15</v>
      </c>
      <c r="N50">
        <f>Bestand!$F$9 -(L50)</f>
        <v>12</v>
      </c>
    </row>
    <row r="51" spans="1:37">
      <c r="A51" s="5" t="s">
        <v>16</v>
      </c>
      <c r="B51" s="7"/>
      <c r="C51" s="7"/>
      <c r="L51">
        <f t="shared" si="5"/>
        <v>0</v>
      </c>
      <c r="M51" s="5" t="s">
        <v>16</v>
      </c>
      <c r="N51">
        <f>Bestand!$F$10 -(L51)</f>
        <v>29</v>
      </c>
    </row>
    <row r="52" spans="1:37">
      <c r="A52" s="5" t="s">
        <v>31</v>
      </c>
      <c r="B52" s="7"/>
      <c r="C52" s="7"/>
      <c r="L52">
        <f t="shared" si="5"/>
        <v>0</v>
      </c>
      <c r="M52" s="5" t="s">
        <v>31</v>
      </c>
      <c r="N52">
        <f>Bestand!$F$11 -(L52)</f>
        <v>24</v>
      </c>
    </row>
    <row r="53" spans="1:37">
      <c r="A53" s="5" t="s">
        <v>19</v>
      </c>
      <c r="B53" s="7"/>
      <c r="C53" s="7"/>
      <c r="L53">
        <f t="shared" si="5"/>
        <v>0</v>
      </c>
      <c r="M53" s="5" t="s">
        <v>19</v>
      </c>
      <c r="N53">
        <f>Bestand!$F$12 -(L53)</f>
        <v>31</v>
      </c>
    </row>
    <row r="54" spans="1:37" s="3" customFormat="1">
      <c r="A54" s="3" t="s">
        <v>40</v>
      </c>
      <c r="C54" s="6"/>
      <c r="L54" s="3" t="s">
        <v>41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5" t="s">
        <v>29</v>
      </c>
      <c r="C55" s="7"/>
      <c r="L55">
        <f t="shared" ref="L55:L63" si="6">SUM(B55:K55)</f>
        <v>0</v>
      </c>
      <c r="M55" s="5" t="s">
        <v>29</v>
      </c>
      <c r="N55">
        <f>Bestand!$F$13 -(L55)</f>
        <v>9</v>
      </c>
    </row>
    <row r="56" spans="1:37">
      <c r="A56" s="5" t="s">
        <v>23</v>
      </c>
      <c r="C56" s="7"/>
      <c r="L56">
        <f t="shared" si="6"/>
        <v>0</v>
      </c>
      <c r="M56" s="5" t="s">
        <v>23</v>
      </c>
      <c r="N56">
        <f>Bestand!$F$14 -(L56)</f>
        <v>7</v>
      </c>
    </row>
    <row r="57" spans="1:37">
      <c r="A57" s="5" t="s">
        <v>5</v>
      </c>
      <c r="C57" s="7"/>
      <c r="L57">
        <f t="shared" si="6"/>
        <v>0</v>
      </c>
      <c r="M57" s="5" t="s">
        <v>5</v>
      </c>
      <c r="N57">
        <f>Bestand!$F$2 -(L57)</f>
        <v>32</v>
      </c>
    </row>
    <row r="58" spans="1:37">
      <c r="A58" s="5" t="s">
        <v>7</v>
      </c>
      <c r="C58" s="7"/>
      <c r="L58">
        <f t="shared" si="6"/>
        <v>0</v>
      </c>
      <c r="M58" s="5" t="s">
        <v>7</v>
      </c>
      <c r="N58">
        <f>Bestand!$F$3 -(L58)</f>
        <v>12</v>
      </c>
    </row>
    <row r="59" spans="1:37">
      <c r="A59" s="5" t="s">
        <v>30</v>
      </c>
      <c r="C59" s="7"/>
      <c r="L59">
        <f t="shared" si="6"/>
        <v>0</v>
      </c>
      <c r="M59" s="5" t="s">
        <v>30</v>
      </c>
      <c r="N59">
        <f>Bestand!$F$8 -(L59)</f>
        <v>33</v>
      </c>
    </row>
    <row r="60" spans="1:37">
      <c r="A60" s="5" t="s">
        <v>15</v>
      </c>
      <c r="C60" s="7"/>
      <c r="L60">
        <f t="shared" si="6"/>
        <v>0</v>
      </c>
      <c r="M60" s="5" t="s">
        <v>15</v>
      </c>
      <c r="N60">
        <f>Bestand!$F$9 -(L60)</f>
        <v>12</v>
      </c>
    </row>
    <row r="61" spans="1:37">
      <c r="A61" s="5" t="s">
        <v>16</v>
      </c>
      <c r="C61" s="7"/>
      <c r="L61">
        <f t="shared" si="6"/>
        <v>0</v>
      </c>
      <c r="M61" s="5" t="s">
        <v>16</v>
      </c>
      <c r="N61">
        <f>Bestand!$F$10 -(L61)</f>
        <v>29</v>
      </c>
    </row>
    <row r="62" spans="1:37">
      <c r="A62" s="5" t="s">
        <v>31</v>
      </c>
      <c r="C62" s="7"/>
      <c r="L62">
        <f t="shared" si="6"/>
        <v>0</v>
      </c>
      <c r="M62" s="5" t="s">
        <v>31</v>
      </c>
      <c r="N62">
        <f>Bestand!$F$11 -(L62)</f>
        <v>24</v>
      </c>
    </row>
    <row r="63" spans="1:37">
      <c r="A63" s="5" t="s">
        <v>19</v>
      </c>
      <c r="C63" s="7"/>
      <c r="L63">
        <f t="shared" si="6"/>
        <v>0</v>
      </c>
      <c r="M63" s="5" t="s">
        <v>19</v>
      </c>
      <c r="N63">
        <f>Bestand!$F$12 -(L63)</f>
        <v>31</v>
      </c>
    </row>
    <row r="64" spans="1:37" s="3" customFormat="1">
      <c r="A64" s="3" t="s">
        <v>42</v>
      </c>
      <c r="L64" s="3" t="s">
        <v>43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14">
      <c r="A65" s="5" t="s">
        <v>29</v>
      </c>
      <c r="L65">
        <f t="shared" ref="L65:L73" si="7">SUM(B65:K65)</f>
        <v>0</v>
      </c>
      <c r="M65" s="5" t="s">
        <v>29</v>
      </c>
      <c r="N65">
        <f>Bestand!$F$13 -(L65)</f>
        <v>9</v>
      </c>
    </row>
    <row r="66" spans="1:14">
      <c r="A66" s="5" t="s">
        <v>23</v>
      </c>
      <c r="L66">
        <f t="shared" si="7"/>
        <v>0</v>
      </c>
      <c r="M66" s="5" t="s">
        <v>23</v>
      </c>
      <c r="N66">
        <f>Bestand!$F$14 -(L66)</f>
        <v>7</v>
      </c>
    </row>
    <row r="67" spans="1:14">
      <c r="A67" s="5" t="s">
        <v>5</v>
      </c>
      <c r="L67">
        <f t="shared" si="7"/>
        <v>0</v>
      </c>
      <c r="M67" s="5" t="s">
        <v>5</v>
      </c>
      <c r="N67">
        <f>Bestand!$F$2 -(L67)</f>
        <v>32</v>
      </c>
    </row>
    <row r="68" spans="1:14">
      <c r="A68" s="5" t="s">
        <v>7</v>
      </c>
      <c r="L68">
        <f t="shared" si="7"/>
        <v>0</v>
      </c>
      <c r="M68" s="5" t="s">
        <v>7</v>
      </c>
      <c r="N68">
        <f>Bestand!$F$3 -(L68)</f>
        <v>12</v>
      </c>
    </row>
    <row r="69" spans="1:14">
      <c r="A69" s="5" t="s">
        <v>30</v>
      </c>
      <c r="L69">
        <f t="shared" si="7"/>
        <v>0</v>
      </c>
      <c r="M69" s="5" t="s">
        <v>30</v>
      </c>
      <c r="N69">
        <f>Bestand!$F$8 -(L69)</f>
        <v>33</v>
      </c>
    </row>
    <row r="70" spans="1:14">
      <c r="A70" s="5" t="s">
        <v>15</v>
      </c>
      <c r="L70">
        <f t="shared" si="7"/>
        <v>0</v>
      </c>
      <c r="M70" s="5" t="s">
        <v>15</v>
      </c>
      <c r="N70">
        <f>Bestand!$F$9 -(L70)</f>
        <v>12</v>
      </c>
    </row>
    <row r="71" spans="1:14">
      <c r="A71" s="5" t="s">
        <v>16</v>
      </c>
      <c r="L71">
        <f t="shared" si="7"/>
        <v>0</v>
      </c>
      <c r="M71" s="5" t="s">
        <v>16</v>
      </c>
      <c r="N71">
        <f>Bestand!$F$10 -(L71)</f>
        <v>29</v>
      </c>
    </row>
    <row r="72" spans="1:14">
      <c r="A72" s="5" t="s">
        <v>31</v>
      </c>
      <c r="L72">
        <f t="shared" si="7"/>
        <v>0</v>
      </c>
      <c r="M72" s="5" t="s">
        <v>31</v>
      </c>
      <c r="N72">
        <f>Bestand!$F$11 -(L72)</f>
        <v>24</v>
      </c>
    </row>
    <row r="73" spans="1:14">
      <c r="A73" s="5" t="s">
        <v>19</v>
      </c>
      <c r="L73">
        <f t="shared" si="7"/>
        <v>0</v>
      </c>
      <c r="M73" s="5" t="s">
        <v>19</v>
      </c>
      <c r="N73">
        <f>Bestand!$F$12 -(L73)</f>
        <v>31</v>
      </c>
    </row>
  </sheetData>
  <conditionalFormatting sqref="N5:N13">
    <cfRule type="cellIs" dxfId="20" priority="4" operator="lessThanOrEqual">
      <formula>0</formula>
    </cfRule>
    <cfRule type="cellIs" dxfId="19" priority="5" operator="between">
      <formula>1</formula>
      <formula>3</formula>
    </cfRule>
    <cfRule type="expression" dxfId="18" priority="6">
      <formula>AND(N5&gt;3,NOT(ISBLANK(N5)))</formula>
    </cfRule>
  </conditionalFormatting>
  <conditionalFormatting sqref="N15:N23">
    <cfRule type="cellIs" dxfId="17" priority="7" operator="lessThanOrEqual">
      <formula>0</formula>
    </cfRule>
    <cfRule type="cellIs" dxfId="16" priority="8" operator="between">
      <formula>1</formula>
      <formula>3</formula>
    </cfRule>
    <cfRule type="expression" dxfId="15" priority="9">
      <formula>AND(N15&gt;3,NOT(ISBLANK(N15)))</formula>
    </cfRule>
  </conditionalFormatting>
  <conditionalFormatting sqref="N25:N33">
    <cfRule type="cellIs" dxfId="14" priority="10" operator="lessThanOrEqual">
      <formula>0</formula>
    </cfRule>
    <cfRule type="cellIs" dxfId="13" priority="11" operator="between">
      <formula>1</formula>
      <formula>3</formula>
    </cfRule>
    <cfRule type="expression" dxfId="12" priority="12">
      <formula>AND(N25&gt;3,NOT(ISBLANK(N25)))</formula>
    </cfRule>
  </conditionalFormatting>
  <conditionalFormatting sqref="N35:N43">
    <cfRule type="cellIs" dxfId="11" priority="13" operator="lessThanOrEqual">
      <formula>0</formula>
    </cfRule>
    <cfRule type="cellIs" dxfId="10" priority="14" operator="between">
      <formula>1</formula>
      <formula>3</formula>
    </cfRule>
    <cfRule type="expression" dxfId="9" priority="15">
      <formula>AND(N35&gt;3,NOT(ISBLANK(N35)))</formula>
    </cfRule>
  </conditionalFormatting>
  <conditionalFormatting sqref="N45:N53">
    <cfRule type="cellIs" dxfId="8" priority="16" operator="lessThanOrEqual">
      <formula>0</formula>
    </cfRule>
    <cfRule type="cellIs" dxfId="7" priority="17" operator="between">
      <formula>1</formula>
      <formula>3</formula>
    </cfRule>
    <cfRule type="expression" dxfId="6" priority="18">
      <formula>AND(N45&gt;3,NOT(ISBLANK(N45)))</formula>
    </cfRule>
  </conditionalFormatting>
  <conditionalFormatting sqref="N55:N63">
    <cfRule type="cellIs" dxfId="5" priority="19" operator="lessThanOrEqual">
      <formula>0</formula>
    </cfRule>
    <cfRule type="cellIs" dxfId="4" priority="20" operator="between">
      <formula>1</formula>
      <formula>3</formula>
    </cfRule>
    <cfRule type="expression" dxfId="3" priority="21">
      <formula>AND(N55&gt;3,NOT(ISBLANK(N55)))</formula>
    </cfRule>
  </conditionalFormatting>
  <conditionalFormatting sqref="N65:N73">
    <cfRule type="cellIs" dxfId="2" priority="22" operator="lessThanOrEqual">
      <formula>0</formula>
    </cfRule>
    <cfRule type="cellIs" dxfId="1" priority="23" operator="between">
      <formula>1</formula>
      <formula>3</formula>
    </cfRule>
    <cfRule type="expression" dxfId="0" priority="24">
      <formula>AND(N65&gt;3,NOT(ISBLANK(N65)))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Golowko</dc:creator>
  <cp:keywords/>
  <dc:description/>
  <cp:lastModifiedBy/>
  <cp:revision/>
  <dcterms:created xsi:type="dcterms:W3CDTF">2026-01-05T14:42:31Z</dcterms:created>
  <dcterms:modified xsi:type="dcterms:W3CDTF">2026-04-14T08:54:50Z</dcterms:modified>
  <cp:category/>
  <cp:contentStatus/>
</cp:coreProperties>
</file>